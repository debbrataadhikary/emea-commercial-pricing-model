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W- Internship\Dexcom-Pricing-Business-Analyst\emea-commercial-pricing-model\"/>
    </mc:Choice>
  </mc:AlternateContent>
  <xr:revisionPtr revIDLastSave="0" documentId="13_ncr:1_{D4B69C8B-6C46-4DAA-8D9A-21706CFD3A5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ontrol_and_Parameters" sheetId="1" r:id="rId1"/>
    <sheet name="Executive_Summary" sheetId="2" r:id="rId2"/>
    <sheet name="Price_Book_Master" sheetId="3" r:id="rId3"/>
    <sheet name="Gross_to_Net_Waterfall" sheetId="4" r:id="rId4"/>
    <sheet name="Sensitivity_and_Elasticity" sheetId="5" r:id="rId5"/>
    <sheet name="Governance_and_Audi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6" l="1"/>
  <c r="B8" i="6"/>
  <c r="B7" i="6"/>
  <c r="B6" i="6"/>
  <c r="B5" i="6"/>
  <c r="J14" i="4"/>
  <c r="H14" i="4"/>
  <c r="J13" i="4"/>
  <c r="H13" i="4"/>
  <c r="J12" i="4"/>
  <c r="H12" i="4"/>
  <c r="J11" i="4"/>
  <c r="H11" i="4"/>
  <c r="J10" i="4"/>
  <c r="H10" i="4"/>
  <c r="J9" i="4"/>
  <c r="H9" i="4"/>
  <c r="J8" i="4"/>
  <c r="H8" i="4"/>
  <c r="J7" i="4"/>
  <c r="H7" i="4"/>
  <c r="J6" i="4"/>
  <c r="H6" i="4"/>
  <c r="J5" i="4"/>
  <c r="H5" i="4"/>
  <c r="H15" i="4" s="1"/>
  <c r="I14" i="3"/>
  <c r="G14" i="3"/>
  <c r="H14" i="3" s="1"/>
  <c r="I13" i="3"/>
  <c r="G13" i="3"/>
  <c r="H13" i="3" s="1"/>
  <c r="I12" i="3"/>
  <c r="G12" i="3"/>
  <c r="H12" i="3" s="1"/>
  <c r="I11" i="3"/>
  <c r="G11" i="3"/>
  <c r="H11" i="3" s="1"/>
  <c r="I10" i="3"/>
  <c r="G10" i="3"/>
  <c r="H10" i="3" s="1"/>
  <c r="I9" i="3"/>
  <c r="G9" i="3"/>
  <c r="H9" i="3" s="1"/>
  <c r="I8" i="3"/>
  <c r="G8" i="3"/>
  <c r="H8" i="3" s="1"/>
  <c r="I7" i="3"/>
  <c r="G7" i="3"/>
  <c r="H7" i="3" s="1"/>
  <c r="I6" i="3"/>
  <c r="G6" i="3"/>
  <c r="H6" i="3" s="1"/>
  <c r="I5" i="3"/>
  <c r="G5" i="3"/>
  <c r="H5" i="3" s="1"/>
  <c r="D16" i="2"/>
  <c r="C16" i="2"/>
  <c r="E16" i="2" s="1"/>
  <c r="B16" i="2"/>
  <c r="D15" i="2"/>
  <c r="C15" i="2"/>
  <c r="E15" i="2" s="1"/>
  <c r="B15" i="2"/>
  <c r="D14" i="2"/>
  <c r="C14" i="2"/>
  <c r="E14" i="2" s="1"/>
  <c r="B14" i="2"/>
  <c r="D13" i="2"/>
  <c r="C13" i="2"/>
  <c r="E13" i="2" s="1"/>
  <c r="B13" i="2"/>
  <c r="G7" i="2"/>
  <c r="D16" i="1"/>
  <c r="D15" i="1"/>
  <c r="D14" i="1"/>
  <c r="D13" i="1"/>
  <c r="C5" i="1"/>
  <c r="C4" i="2" s="1"/>
  <c r="J15" i="4" l="1"/>
  <c r="B7" i="5" s="1"/>
  <c r="J14" i="3"/>
  <c r="N14" i="3" s="1"/>
  <c r="C14" i="4"/>
  <c r="J13" i="3"/>
  <c r="N13" i="3" s="1"/>
  <c r="C13" i="4"/>
  <c r="J12" i="3"/>
  <c r="N12" i="3" s="1"/>
  <c r="C12" i="4"/>
  <c r="J11" i="3"/>
  <c r="N11" i="3" s="1"/>
  <c r="C11" i="4"/>
  <c r="C10" i="4"/>
  <c r="J10" i="3"/>
  <c r="J9" i="3"/>
  <c r="C9" i="4"/>
  <c r="J8" i="3"/>
  <c r="C8" i="4"/>
  <c r="J7" i="3"/>
  <c r="C7" i="4"/>
  <c r="J6" i="3"/>
  <c r="C6" i="4"/>
  <c r="J5" i="3"/>
  <c r="N5" i="3" s="1"/>
  <c r="C5" i="4"/>
  <c r="F16" i="2"/>
  <c r="G16" i="2"/>
  <c r="F15" i="2"/>
  <c r="G15" i="2"/>
  <c r="H15" i="2" s="1"/>
  <c r="F14" i="2"/>
  <c r="G14" i="2"/>
  <c r="H14" i="2" s="1"/>
  <c r="F13" i="2"/>
  <c r="G13" i="2"/>
  <c r="H13" i="2" s="1"/>
  <c r="F14" i="4" l="1"/>
  <c r="D14" i="4"/>
  <c r="I14" i="4" s="1"/>
  <c r="K14" i="4" s="1"/>
  <c r="L14" i="4" s="1"/>
  <c r="M14" i="4" s="1"/>
  <c r="E14" i="4"/>
  <c r="G14" i="4"/>
  <c r="D13" i="4"/>
  <c r="E13" i="4"/>
  <c r="F13" i="4"/>
  <c r="G13" i="4"/>
  <c r="I13" i="4"/>
  <c r="K13" i="4" s="1"/>
  <c r="L13" i="4" s="1"/>
  <c r="M13" i="4" s="1"/>
  <c r="D12" i="4"/>
  <c r="E12" i="4"/>
  <c r="I12" i="4"/>
  <c r="K12" i="4" s="1"/>
  <c r="L12" i="4" s="1"/>
  <c r="M12" i="4" s="1"/>
  <c r="F12" i="4"/>
  <c r="G12" i="4"/>
  <c r="D11" i="4"/>
  <c r="E11" i="4"/>
  <c r="F11" i="4"/>
  <c r="G11" i="4"/>
  <c r="I11" i="4"/>
  <c r="K11" i="4" s="1"/>
  <c r="L11" i="4" s="1"/>
  <c r="M11" i="4" s="1"/>
  <c r="D10" i="4"/>
  <c r="E10" i="4"/>
  <c r="I10" i="4" s="1"/>
  <c r="K10" i="4" s="1"/>
  <c r="L10" i="4" s="1"/>
  <c r="M10" i="4" s="1"/>
  <c r="F10" i="4"/>
  <c r="G10" i="4"/>
  <c r="D9" i="4"/>
  <c r="E9" i="4"/>
  <c r="I9" i="4" s="1"/>
  <c r="K9" i="4" s="1"/>
  <c r="L9" i="4" s="1"/>
  <c r="M9" i="4" s="1"/>
  <c r="F9" i="4"/>
  <c r="G9" i="4"/>
  <c r="D8" i="4"/>
  <c r="E8" i="4"/>
  <c r="F8" i="4"/>
  <c r="I8" i="4" s="1"/>
  <c r="K8" i="4" s="1"/>
  <c r="L8" i="4" s="1"/>
  <c r="M8" i="4" s="1"/>
  <c r="G8" i="4"/>
  <c r="D7" i="4"/>
  <c r="E7" i="4"/>
  <c r="F7" i="4"/>
  <c r="I7" i="4" s="1"/>
  <c r="K7" i="4" s="1"/>
  <c r="L7" i="4" s="1"/>
  <c r="M7" i="4" s="1"/>
  <c r="G7" i="4"/>
  <c r="D6" i="4"/>
  <c r="E6" i="4"/>
  <c r="F6" i="4"/>
  <c r="G6" i="4"/>
  <c r="I6" i="4" s="1"/>
  <c r="K6" i="4" s="1"/>
  <c r="L6" i="4" s="1"/>
  <c r="M6" i="4" s="1"/>
  <c r="D5" i="4"/>
  <c r="E5" i="4"/>
  <c r="F5" i="4"/>
  <c r="G5" i="4"/>
  <c r="I5" i="4"/>
  <c r="C15" i="4"/>
  <c r="N10" i="3"/>
  <c r="N9" i="3"/>
  <c r="N8" i="3"/>
  <c r="N7" i="3"/>
  <c r="N6" i="3"/>
  <c r="H16" i="2"/>
  <c r="K5" i="4" l="1"/>
  <c r="A7" i="2"/>
  <c r="I15" i="4"/>
  <c r="B6" i="5" s="1"/>
  <c r="C7" i="2"/>
  <c r="D15" i="4"/>
  <c r="E15" i="4"/>
  <c r="F15" i="4"/>
  <c r="G15" i="4"/>
  <c r="L5" i="4" l="1"/>
  <c r="K15" i="4"/>
  <c r="L15" i="4" s="1"/>
  <c r="E6" i="5"/>
  <c r="F6" i="5"/>
  <c r="G6" i="5"/>
  <c r="H6" i="5"/>
  <c r="I6" i="5"/>
  <c r="E7" i="5"/>
  <c r="F7" i="5"/>
  <c r="G7" i="5"/>
  <c r="H7" i="5"/>
  <c r="I7" i="5"/>
  <c r="B8" i="5"/>
  <c r="B9" i="5" s="1"/>
  <c r="E8" i="5"/>
  <c r="F8" i="5"/>
  <c r="G8" i="5"/>
  <c r="H8" i="5"/>
  <c r="I8" i="5"/>
  <c r="E9" i="5"/>
  <c r="F9" i="5"/>
  <c r="G9" i="5"/>
  <c r="H9" i="5"/>
  <c r="I9" i="5"/>
  <c r="E10" i="5"/>
  <c r="F10" i="5"/>
  <c r="G10" i="5"/>
  <c r="H10" i="5"/>
  <c r="I10" i="5"/>
  <c r="M5" i="4" l="1"/>
  <c r="E7" i="2"/>
</calcChain>
</file>

<file path=xl/sharedStrings.xml><?xml version="1.0" encoding="utf-8"?>
<sst xmlns="http://schemas.openxmlformats.org/spreadsheetml/2006/main" count="314" uniqueCount="223">
  <si>
    <t>DEXCOM EMEA PRICING ENGINE: MODEL ASSUMPTIONS &amp; PARAMETERS</t>
  </si>
  <si>
    <t>Centralized Repository for Global Macro Assumptions, Treasury FX Rates, Standard COGS &amp; Commercial Policies</t>
  </si>
  <si>
    <t>ACTIVE SCENARIO CONTROLLER</t>
  </si>
  <si>
    <t>Scenario Catalog</t>
  </si>
  <si>
    <t>Price Uplift %</t>
  </si>
  <si>
    <t>Volume Elasticity (PED)</t>
  </si>
  <si>
    <t>Target Strategic Focus</t>
  </si>
  <si>
    <t>Selected Scenario ID (1-4):</t>
  </si>
  <si>
    <t>Base Case (Q4 Approved SFDC)</t>
  </si>
  <si>
    <t>Maintain approved Q4 Price Book across EMEA channels</t>
  </si>
  <si>
    <t>Scenario 1: Inflationary Indexation (+3.8%)</t>
  </si>
  <si>
    <t>Pass-through 4.5% D2C CPI and 3.0% distributor uplift</t>
  </si>
  <si>
    <t>Scenario 2: Tier-1 Volume Concession (-3.5%)</t>
  </si>
  <si>
    <t>Grant 3.5% concession for Tier-1 pledging +15% volume</t>
  </si>
  <si>
    <t>Scenario 3: Nordics FX Depreciation Hedge (+6.0%)</t>
  </si>
  <si>
    <t>Local currency list price hedge against SEK/DKK drift</t>
  </si>
  <si>
    <t>TREASURY FX REFERENCE TABLE (BASE CURRENCY: EUR)</t>
  </si>
  <si>
    <t>PRODUCT STANDARD COST &amp; LOGISTICS BENCHMARKS</t>
  </si>
  <si>
    <t>Currency Code</t>
  </si>
  <si>
    <t>Budget Rate (EUR)</t>
  </si>
  <si>
    <t>Spot Rate (EUR)</t>
  </si>
  <si>
    <t>Variance %</t>
  </si>
  <si>
    <t>SKU Code</t>
  </si>
  <si>
    <t>Product Line</t>
  </si>
  <si>
    <t>Direct Mfg COGS (€)</t>
  </si>
  <si>
    <t>Standard Freight (€)</t>
  </si>
  <si>
    <t>EUR</t>
  </si>
  <si>
    <t>DX-CGM-G7-SEN-01</t>
  </si>
  <si>
    <t>Dexcom G7 Sensor Pack</t>
  </si>
  <si>
    <t>GBP</t>
  </si>
  <si>
    <t>DX-CGM-G7-TRN-01</t>
  </si>
  <si>
    <t>Dexcom G7 Transmitter</t>
  </si>
  <si>
    <t>SEK</t>
  </si>
  <si>
    <t>DX-CGM-G6-SEN-03</t>
  </si>
  <si>
    <t>Dexcom G6 Legacy 3-Pk</t>
  </si>
  <si>
    <t>DKK</t>
  </si>
  <si>
    <t>DX-CGM-APP-SUB-01</t>
  </si>
  <si>
    <t>Clarity Clinical Portal SaaS</t>
  </si>
  <si>
    <t>COMMERCIAL CHANNEL DISCOUNTING POLICIES &amp; TERMS</t>
  </si>
  <si>
    <t>Channel Category</t>
  </si>
  <si>
    <t>Base Discount %</t>
  </si>
  <si>
    <t>Annual Volume Rebate %</t>
  </si>
  <si>
    <t>Co-Op Marketing (MDF) %</t>
  </si>
  <si>
    <t>Cash Terms (2/10 Net 30) %</t>
  </si>
  <si>
    <t>Channel Strategy</t>
  </si>
  <si>
    <t>Distributor (Tier 1)</t>
  </si>
  <si>
    <t>Pan-EMEA wholesale master distributors</t>
  </si>
  <si>
    <t>Direct-to-Consumer (D2C)</t>
  </si>
  <si>
    <t>Direct ecommerce patient subscriptions</t>
  </si>
  <si>
    <t>Hospital / Tender</t>
  </si>
  <si>
    <t>National health authorities &amp; tender contracts</t>
  </si>
  <si>
    <t>Distributor (Tier 2)</t>
  </si>
  <si>
    <t>Regional specialized medical distributors</t>
  </si>
  <si>
    <t>DEXCOM EMEA COMMERCIAL PRICING &amp; EXECUTIVE DECISION ENGINE</t>
  </si>
  <si>
    <t>Dynamic Multi-Market Pricing Governance, Salesforce SFDC Price Book Integration &amp; Margin Realization</t>
  </si>
  <si>
    <t>CURRENT SCENARIO SIMULATION:</t>
  </si>
  <si>
    <t>Blended Net Realized ASP</t>
  </si>
  <si>
    <t>Gross-to-Net Realization Rate</t>
  </si>
  <si>
    <t>Blended Contribution Margin %</t>
  </si>
  <si>
    <t>Active SFDC Synchronization</t>
  </si>
  <si>
    <t>Post-Deductions Weighted Net Price</t>
  </si>
  <si>
    <t>Margin Retention from Gross List</t>
  </si>
  <si>
    <t>Operating Contribution Margin</t>
  </si>
  <si>
    <t>Salesforce CPQ Deployment Parity</t>
  </si>
  <si>
    <t>EXECUTIVE SCENARIO DECISION MATRIX (MACRO SIMULATION)</t>
  </si>
  <si>
    <t>Scenario ID</t>
  </si>
  <si>
    <t>Scenario Description</t>
  </si>
  <si>
    <t>Price Delta %</t>
  </si>
  <si>
    <t>Elasticity (PED)</t>
  </si>
  <si>
    <t>Units (M)</t>
  </si>
  <si>
    <t>Projected Revenue (€M)</t>
  </si>
  <si>
    <t>Gross Profit (€M)</t>
  </si>
  <si>
    <t>Blended Margin %</t>
  </si>
  <si>
    <t>SALESFORCE (SFDC) EMEA PRICE BOOK MASTER REPOSITORY</t>
  </si>
  <si>
    <t>Dynamic FX Conversion via XLOOKUP, Automated Policy Discounts, Parity Corridor Testing &amp; Jira Audit Sync</t>
  </si>
  <si>
    <t>Product Description</t>
  </si>
  <si>
    <t>Market / Region</t>
  </si>
  <si>
    <t>Currency</t>
  </si>
  <si>
    <t>List Price (Local)</t>
  </si>
  <si>
    <t>Treasury FX Rate</t>
  </si>
  <si>
    <t>List Price (EUR)</t>
  </si>
  <si>
    <t>Contract Disc %</t>
  </si>
  <si>
    <t>Contracted Price (EUR)</t>
  </si>
  <si>
    <t>SFDC PriceBook ID</t>
  </si>
  <si>
    <t>Jira Ticket ID</t>
  </si>
  <si>
    <t>IT Status</t>
  </si>
  <si>
    <t>Parity Corridor Audit</t>
  </si>
  <si>
    <t>Dexcom G7 Continuous Glucose Sensor (1 pk)</t>
  </si>
  <si>
    <t>Germany (DE)</t>
  </si>
  <si>
    <t>01s5G000004XYZ1</t>
  </si>
  <si>
    <t>JIRA-PRC-1042</t>
  </si>
  <si>
    <t>Deployed</t>
  </si>
  <si>
    <t>01s5G000004XYZ2</t>
  </si>
  <si>
    <t>United Kingdom (UK)</t>
  </si>
  <si>
    <t>01s5G000004XYZ3</t>
  </si>
  <si>
    <t>JIRA-PRC-1045</t>
  </si>
  <si>
    <t>France (FR)</t>
  </si>
  <si>
    <t>01s5G000004XYZ4</t>
  </si>
  <si>
    <t>JIRA-PRC-1048</t>
  </si>
  <si>
    <t>Sweden (SE)</t>
  </si>
  <si>
    <t>01s5G000004XYZ5</t>
  </si>
  <si>
    <t>JIRA-PRC-1050</t>
  </si>
  <si>
    <t>Baltics (LT/LV/EE)</t>
  </si>
  <si>
    <t>01s5G000004XYZ6</t>
  </si>
  <si>
    <t>JIRA-PRC-1052</t>
  </si>
  <si>
    <t>Dexcom G7 Rechargeable Transmitter</t>
  </si>
  <si>
    <t>01s5G000004TRN1</t>
  </si>
  <si>
    <t>JIRA-PRC-1055</t>
  </si>
  <si>
    <t>01s5G000004TRN2</t>
  </si>
  <si>
    <t>Dexcom G6 Legacy Sensor Pack (3 pk)</t>
  </si>
  <si>
    <t>01s5G000004LEG1</t>
  </si>
  <si>
    <t>JIRA-PRC-1060</t>
  </si>
  <si>
    <t>Dexcom Clarity Clinical Enterprise Sub</t>
  </si>
  <si>
    <t>EMEA Regional</t>
  </si>
  <si>
    <t>01s5G000004SUB1</t>
  </si>
  <si>
    <t>JIRA-PRC-1062</t>
  </si>
  <si>
    <t>GROSS-TO-NET COMMERCIAL MARGIN WATERFALL (EMEA DISTRIBUTORS &amp; D2C)</t>
  </si>
  <si>
    <t>Dynamic Revenue Deduction Bridge: Contractual Discounts, Growth Rebates, MDF, Cash Terms, Standard COGS &amp; Net Margin</t>
  </si>
  <si>
    <t>Market / Account Entity</t>
  </si>
  <si>
    <t>Gross List (€)</t>
  </si>
  <si>
    <t>Base Contract Disc (€)</t>
  </si>
  <si>
    <t>Volume Growth Rebate (€)</t>
  </si>
  <si>
    <t>Co-Op MDF (€)</t>
  </si>
  <si>
    <t>Cash Terms (€)</t>
  </si>
  <si>
    <t>Logistics &amp; Freight (€)</t>
  </si>
  <si>
    <t>Net Realized ASP (€)</t>
  </si>
  <si>
    <t>Standard COGS (€)</t>
  </si>
  <si>
    <t>Net Contribution (€)</t>
  </si>
  <si>
    <t>Net Margin %</t>
  </si>
  <si>
    <t>Health Status</t>
  </si>
  <si>
    <t>DE - MedSupply GmbH (Tier 1 Master)</t>
  </si>
  <si>
    <t>DE - D2C Webstore Direct</t>
  </si>
  <si>
    <t>UK - MediCare Alliance (Tier 1)</t>
  </si>
  <si>
    <t>FR - Assistance Publique (Tender)</t>
  </si>
  <si>
    <t>SE - NordicHealth AB (Tier 2)</t>
  </si>
  <si>
    <t>LT - BalticPharma UAB (Tier 1)</t>
  </si>
  <si>
    <t>DE - MedSupply GmbH (Transmitter)</t>
  </si>
  <si>
    <t>UK - D2C Webstore Direct</t>
  </si>
  <si>
    <t>FR - Sanofi Distribution (Tier 1)</t>
  </si>
  <si>
    <t>EMEA - Hospital Clinical Portal SaaS</t>
  </si>
  <si>
    <t>EMEA Portfolio Weighted Average</t>
  </si>
  <si>
    <t>PORTFOLIO HEALTHY</t>
  </si>
  <si>
    <t>ECONOMETRIC PRICE ELASTICITY &amp; TWO-WAY SENSITIVITY MATRIX</t>
  </si>
  <si>
    <t>Simulating EMEA Gross Profit Impact (€M) across Strategic Price Deltas (-10% to +10%) vs Elasticity Coefficients (-0.80 to -1.80)</t>
  </si>
  <si>
    <t>Model Baseline Assumptions</t>
  </si>
  <si>
    <t>2-WAY SENSITIVITY TABLE: PROJECTED EMEA GROSS PROFIT (€M)</t>
  </si>
  <si>
    <t>Baseline EMEA Annual Units Sold:</t>
  </si>
  <si>
    <t>Price \ PED</t>
  </si>
  <si>
    <t>Baseline Blended Net ASP (€):</t>
  </si>
  <si>
    <t>Baseline Blended Unit COGS (€):</t>
  </si>
  <si>
    <t>Baseline Unit Contribution (€):</t>
  </si>
  <si>
    <t>Baseline Total Gross Profit (€M):</t>
  </si>
  <si>
    <t>JIRA IT SPRINT &amp; SALESFORCE PRICE BOOK GOVERNANCE AUDIT</t>
  </si>
  <si>
    <t>Audit Verification: Automated KPI Formulas Tracking Compliance, Sign-Offs, and Deployment Velocity</t>
  </si>
  <si>
    <t>GOVERNANCE METRICS</t>
  </si>
  <si>
    <t>Total Commercial Change Requests:</t>
  </si>
  <si>
    <t>Production Deployed Tickets:</t>
  </si>
  <si>
    <t>Deployment Success Rate:</t>
  </si>
  <si>
    <t>Legal &amp; Compliance Sign-Off Rate:</t>
  </si>
  <si>
    <t>Finance Sign-Off Rate:</t>
  </si>
  <si>
    <t>Commercial Initiative</t>
  </si>
  <si>
    <t>Market / Territory</t>
  </si>
  <si>
    <t>Change Type</t>
  </si>
  <si>
    <t>Commercial Requestor</t>
  </si>
  <si>
    <t>Legal / Compliance Signoff</t>
  </si>
  <si>
    <t>Finance Signoff</t>
  </si>
  <si>
    <t>IT Sprint Release</t>
  </si>
  <si>
    <t>SFDC Deployment Status</t>
  </si>
  <si>
    <t>Post-Deploy Audit</t>
  </si>
  <si>
    <t>G7 Launch Germany Commercial Price Book</t>
  </si>
  <si>
    <t>New SKU Activation</t>
  </si>
  <si>
    <t>H. Schmidt (Commercial Lead)</t>
  </si>
  <si>
    <t>Approved (14/09/2026)</t>
  </si>
  <si>
    <t>Approved (16/09/2026)</t>
  </si>
  <si>
    <t>Sprint 2026.4</t>
  </si>
  <si>
    <t>Production Deployed</t>
  </si>
  <si>
    <t>Verified 0 Schema Errors</t>
  </si>
  <si>
    <t>UK NHS Tender Framework Update</t>
  </si>
  <si>
    <t>Tender Price Banding</t>
  </si>
  <si>
    <t>E. Taylor (UK Market Dir)</t>
  </si>
  <si>
    <t>Approved (18/09/2026)</t>
  </si>
  <si>
    <t>Approved (19/09/2026)</t>
  </si>
  <si>
    <t>Verified 100% Price Match</t>
  </si>
  <si>
    <t>French Reimbursement Code Alignment</t>
  </si>
  <si>
    <t>Reimbursement Index</t>
  </si>
  <si>
    <t>J. Moreau (Pricing Mgr)</t>
  </si>
  <si>
    <t>Approved (22/09/2026)</t>
  </si>
  <si>
    <t>Approved (24/09/2026)</t>
  </si>
  <si>
    <t>Sprint 2026.5</t>
  </si>
  <si>
    <t>Passed Margin Gate</t>
  </si>
  <si>
    <t>Nordic SEK FX Depreciation Surcharge</t>
  </si>
  <si>
    <t>FX Corridor Realignment</t>
  </si>
  <si>
    <t>L. Lindqvist (Nordic Sales)</t>
  </si>
  <si>
    <t>Approved (25/09/2026)</t>
  </si>
  <si>
    <t>Approved (27/09/2026)</t>
  </si>
  <si>
    <t>Re-hedged at 0.086 EUR</t>
  </si>
  <si>
    <t>Baltic Distributor Margin Tier Restructure</t>
  </si>
  <si>
    <t>Tier Discount Rebate</t>
  </si>
  <si>
    <t>M. Kazlauskas (Baltic Reg)</t>
  </si>
  <si>
    <t>Approved (02/10/2026)</t>
  </si>
  <si>
    <t>Approved (04/10/2026)</t>
  </si>
  <si>
    <t>Sprint 2026.6</t>
  </si>
  <si>
    <t>Distributor Portal Synced</t>
  </si>
  <si>
    <t>G7 Rechargeable Transmitter Bundle</t>
  </si>
  <si>
    <t>Pan-EMEA</t>
  </si>
  <si>
    <t>Bundle Pricing Logic</t>
  </si>
  <si>
    <t>C. Weber (Product Ops)</t>
  </si>
  <si>
    <t>Approved (08/10/2026)</t>
  </si>
  <si>
    <t>Approved (10/10/2026)</t>
  </si>
  <si>
    <t>Passed Bundle Validation</t>
  </si>
  <si>
    <t>G6 Legacy End-of-Life Price Adjust</t>
  </si>
  <si>
    <t>Discontinuation Discount</t>
  </si>
  <si>
    <t>A. Dubois (Supply Chain)</t>
  </si>
  <si>
    <t>Approved (12/10/2026)</t>
  </si>
  <si>
    <t>Approved (13/10/2026)</t>
  </si>
  <si>
    <t>Sprint 2026.7</t>
  </si>
  <si>
    <t>Inventory Cleared 94%</t>
  </si>
  <si>
    <t>Clarity Clinic SaaS Annual Subscription</t>
  </si>
  <si>
    <t>SaaS Pricing Catalog</t>
  </si>
  <si>
    <t>S. Jensen (Digital Health)</t>
  </si>
  <si>
    <t>Approved (15/10/2026)</t>
  </si>
  <si>
    <t>Approved (16/10/2026)</t>
  </si>
  <si>
    <t>Recurring Billing Active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</si>
</sst>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+0.0%;\-0.0%;0.0%"/>
    <numFmt numFmtId="165" formatCode="0.000"/>
    <numFmt numFmtId="166" formatCode="\€#,##0.00"/>
    <numFmt numFmtId="167" formatCode="0.0%"/>
  </numFmts>
  <fonts count="29" x14ac:knownFonts="1">
    <font>
      <sz val="11"/>
      <color theme="1"/>
      <name val="Calibri"/>
      <family val="2"/>
      <scheme val="minor"/>
    </font>
    <font>
      <b/>
      <sz val="14"/>
      <color rgb="FF0E3A5D"/>
      <name val="Calibri"/>
    </font>
    <font>
      <i/>
      <sz val="9.5"/>
      <color rgb="FF555E6B"/>
      <name val="Calibri"/>
    </font>
    <font>
      <b/>
      <sz val="10.5"/>
      <color rgb="FF0E3A5D"/>
      <name val="Calibri"/>
    </font>
    <font>
      <b/>
      <sz val="9.5"/>
      <name val="Calibri"/>
    </font>
    <font>
      <b/>
      <sz val="12"/>
      <color rgb="FF0E3A5D"/>
      <name val="Calibri"/>
    </font>
    <font>
      <b/>
      <sz val="9.5"/>
      <color rgb="FF1B657A"/>
      <name val="Calibri"/>
    </font>
    <font>
      <b/>
      <sz val="9"/>
      <color rgb="FFFFFFFF"/>
      <name val="Calibri"/>
    </font>
    <font>
      <sz val="9"/>
      <name val="Calibri"/>
    </font>
    <font>
      <i/>
      <sz val="8.5"/>
      <name val="Calibri"/>
    </font>
    <font>
      <b/>
      <sz val="9"/>
      <name val="Calibri"/>
    </font>
    <font>
      <b/>
      <sz val="15"/>
      <color rgb="FF0E3A5D"/>
      <name val="Calibri"/>
    </font>
    <font>
      <i/>
      <sz val="10"/>
      <color rgb="FF555E6B"/>
      <name val="Calibri"/>
    </font>
    <font>
      <b/>
      <sz val="10"/>
      <color rgb="FF0E3A5D"/>
      <name val="Calibri"/>
    </font>
    <font>
      <b/>
      <sz val="12"/>
      <color rgb="FF1B657A"/>
      <name val="Calibri"/>
    </font>
    <font>
      <b/>
      <sz val="8.5"/>
      <color rgb="FF555E6B"/>
      <name val="Calibri"/>
    </font>
    <font>
      <i/>
      <sz val="8"/>
      <color rgb="FF64748B"/>
      <name val="Calibri"/>
    </font>
    <font>
      <b/>
      <sz val="11"/>
      <color rgb="FF0E3A5D"/>
      <name val="Calibri"/>
    </font>
    <font>
      <b/>
      <sz val="9"/>
      <color rgb="FF0E3A5D"/>
      <name val="Calibri"/>
    </font>
    <font>
      <sz val="8.5"/>
      <color rgb="FF475569"/>
      <name val="Calibri"/>
    </font>
    <font>
      <b/>
      <sz val="8.5"/>
      <color rgb="FF1B657A"/>
      <name val="Calibri"/>
    </font>
    <font>
      <b/>
      <sz val="8.5"/>
      <color rgb="FF166534"/>
      <name val="Calibri"/>
    </font>
    <font>
      <b/>
      <sz val="9.5"/>
      <color rgb="FF0E3A5D"/>
      <name val="Calibri"/>
    </font>
    <font>
      <b/>
      <sz val="9.5"/>
      <color rgb="FF166534"/>
      <name val="Calibri"/>
    </font>
    <font>
      <sz val="9.5"/>
      <name val="Calibri"/>
    </font>
    <font>
      <b/>
      <sz val="8.5"/>
      <color rgb="FFFFFFFF"/>
      <name val="Calibri"/>
    </font>
    <font>
      <b/>
      <sz val="8.5"/>
      <color rgb="FF0E3A5D"/>
      <name val="Calibri"/>
    </font>
    <font>
      <b/>
      <sz val="9"/>
      <color rgb="FF166534"/>
      <name val="Calibri"/>
    </font>
    <font>
      <sz val="8.5"/>
      <color rgb="FF166534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BF3F8"/>
        <bgColor rgb="FFEBF3F8"/>
      </patternFill>
    </fill>
    <fill>
      <patternFill patternType="solid">
        <fgColor rgb="FFFEF9C3"/>
        <bgColor rgb="FFFEF9C3"/>
      </patternFill>
    </fill>
    <fill>
      <patternFill patternType="solid">
        <fgColor rgb="FF0E3A5D"/>
        <bgColor rgb="FF0E3A5D"/>
      </patternFill>
    </fill>
    <fill>
      <patternFill patternType="solid">
        <fgColor rgb="FFDCFCE7"/>
        <bgColor rgb="FFDCFCE7"/>
      </patternFill>
    </fill>
    <fill>
      <patternFill patternType="solid">
        <fgColor rgb="FFF8FAFC"/>
        <bgColor rgb="FFF8FAFC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0E3A5D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7" fillId="4" borderId="0" xfId="0" applyFont="1" applyFill="1" applyAlignment="1">
      <alignment horizontal="center"/>
    </xf>
    <xf numFmtId="0" fontId="4" fillId="0" borderId="0" xfId="0" applyFont="1"/>
    <xf numFmtId="0" fontId="5" fillId="3" borderId="1" xfId="0" applyFont="1" applyFill="1" applyBorder="1" applyAlignment="1">
      <alignment horizontal="center"/>
    </xf>
    <xf numFmtId="0" fontId="6" fillId="0" borderId="0" xfId="0" applyFont="1"/>
    <xf numFmtId="0" fontId="8" fillId="0" borderId="1" xfId="0" applyFont="1" applyBorder="1"/>
    <xf numFmtId="164" fontId="8" fillId="0" borderId="1" xfId="0" applyNumberFormat="1" applyFont="1" applyBorder="1" applyAlignment="1">
      <alignment horizontal="right"/>
    </xf>
    <xf numFmtId="2" fontId="8" fillId="0" borderId="1" xfId="0" applyNumberFormat="1" applyFont="1" applyBorder="1" applyAlignment="1">
      <alignment horizontal="right"/>
    </xf>
    <xf numFmtId="0" fontId="9" fillId="0" borderId="1" xfId="0" applyFont="1" applyBorder="1"/>
    <xf numFmtId="0" fontId="10" fillId="0" borderId="1" xfId="0" applyFont="1" applyBorder="1" applyAlignment="1">
      <alignment horizontal="center"/>
    </xf>
    <xf numFmtId="165" fontId="8" fillId="0" borderId="1" xfId="0" applyNumberFormat="1" applyFont="1" applyBorder="1" applyAlignment="1">
      <alignment horizontal="right"/>
    </xf>
    <xf numFmtId="0" fontId="10" fillId="0" borderId="1" xfId="0" applyFont="1" applyBorder="1"/>
    <xf numFmtId="166" fontId="8" fillId="0" borderId="1" xfId="0" applyNumberFormat="1" applyFont="1" applyBorder="1" applyAlignment="1">
      <alignment horizontal="right"/>
    </xf>
    <xf numFmtId="167" fontId="8" fillId="0" borderId="1" xfId="0" applyNumberFormat="1" applyFont="1" applyBorder="1" applyAlignment="1">
      <alignment horizontal="right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7" fillId="4" borderId="0" xfId="0" applyFont="1" applyFill="1" applyAlignment="1">
      <alignment horizontal="left"/>
    </xf>
    <xf numFmtId="166" fontId="10" fillId="0" borderId="1" xfId="0" applyNumberFormat="1" applyFont="1" applyBorder="1" applyAlignment="1">
      <alignment horizontal="right"/>
    </xf>
    <xf numFmtId="167" fontId="18" fillId="0" borderId="1" xfId="0" applyNumberFormat="1" applyFont="1" applyBorder="1" applyAlignment="1">
      <alignment horizontal="right"/>
    </xf>
    <xf numFmtId="4" fontId="8" fillId="0" borderId="1" xfId="0" applyNumberFormat="1" applyFont="1" applyBorder="1" applyAlignment="1">
      <alignment horizontal="right"/>
    </xf>
    <xf numFmtId="166" fontId="18" fillId="0" borderId="1" xfId="0" applyNumberFormat="1" applyFont="1" applyBorder="1" applyAlignment="1">
      <alignment horizontal="right"/>
    </xf>
    <xf numFmtId="0" fontId="19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21" fillId="5" borderId="1" xfId="0" applyFont="1" applyFill="1" applyBorder="1" applyAlignment="1">
      <alignment horizontal="center"/>
    </xf>
    <xf numFmtId="0" fontId="10" fillId="6" borderId="1" xfId="0" applyFont="1" applyFill="1" applyBorder="1"/>
    <xf numFmtId="0" fontId="8" fillId="6" borderId="1" xfId="0" applyFont="1" applyFill="1" applyBorder="1"/>
    <xf numFmtId="0" fontId="10" fillId="6" borderId="1" xfId="0" applyFont="1" applyFill="1" applyBorder="1" applyAlignment="1">
      <alignment horizontal="center"/>
    </xf>
    <xf numFmtId="4" fontId="8" fillId="6" borderId="1" xfId="0" applyNumberFormat="1" applyFont="1" applyFill="1" applyBorder="1" applyAlignment="1">
      <alignment horizontal="right"/>
    </xf>
    <xf numFmtId="165" fontId="8" fillId="6" borderId="1" xfId="0" applyNumberFormat="1" applyFont="1" applyFill="1" applyBorder="1" applyAlignment="1">
      <alignment horizontal="right"/>
    </xf>
    <xf numFmtId="166" fontId="10" fillId="6" borderId="1" xfId="0" applyNumberFormat="1" applyFont="1" applyFill="1" applyBorder="1" applyAlignment="1">
      <alignment horizontal="right"/>
    </xf>
    <xf numFmtId="167" fontId="8" fillId="6" borderId="1" xfId="0" applyNumberFormat="1" applyFont="1" applyFill="1" applyBorder="1" applyAlignment="1">
      <alignment horizontal="right"/>
    </xf>
    <xf numFmtId="166" fontId="18" fillId="6" borderId="1" xfId="0" applyNumberFormat="1" applyFont="1" applyFill="1" applyBorder="1" applyAlignment="1">
      <alignment horizontal="right"/>
    </xf>
    <xf numFmtId="0" fontId="19" fillId="6" borderId="1" xfId="0" applyFont="1" applyFill="1" applyBorder="1" applyAlignment="1">
      <alignment horizontal="center"/>
    </xf>
    <xf numFmtId="0" fontId="20" fillId="6" borderId="1" xfId="0" applyFont="1" applyFill="1" applyBorder="1" applyAlignment="1">
      <alignment horizontal="center"/>
    </xf>
    <xf numFmtId="0" fontId="7" fillId="4" borderId="0" xfId="0" applyFont="1" applyFill="1" applyAlignment="1">
      <alignment horizontal="right"/>
    </xf>
    <xf numFmtId="166" fontId="8" fillId="6" borderId="1" xfId="0" applyNumberFormat="1" applyFont="1" applyFill="1" applyBorder="1" applyAlignment="1">
      <alignment horizontal="right"/>
    </xf>
    <xf numFmtId="167" fontId="18" fillId="6" borderId="1" xfId="0" applyNumberFormat="1" applyFont="1" applyFill="1" applyBorder="1" applyAlignment="1">
      <alignment horizontal="right"/>
    </xf>
    <xf numFmtId="166" fontId="22" fillId="2" borderId="2" xfId="0" applyNumberFormat="1" applyFont="1" applyFill="1" applyBorder="1"/>
    <xf numFmtId="167" fontId="22" fillId="2" borderId="2" xfId="0" applyNumberFormat="1" applyFont="1" applyFill="1" applyBorder="1"/>
    <xf numFmtId="0" fontId="23" fillId="5" borderId="2" xfId="0" applyFont="1" applyFill="1" applyBorder="1" applyAlignment="1">
      <alignment horizontal="center"/>
    </xf>
    <xf numFmtId="3" fontId="24" fillId="0" borderId="1" xfId="0" applyNumberFormat="1" applyFont="1" applyBorder="1"/>
    <xf numFmtId="0" fontId="25" fillId="4" borderId="0" xfId="0" applyFont="1" applyFill="1" applyAlignment="1">
      <alignment horizontal="center"/>
    </xf>
    <xf numFmtId="2" fontId="25" fillId="4" borderId="0" xfId="0" applyNumberFormat="1" applyFont="1" applyFill="1" applyAlignment="1">
      <alignment horizontal="center"/>
    </xf>
    <xf numFmtId="166" fontId="24" fillId="0" borderId="1" xfId="0" applyNumberFormat="1" applyFont="1" applyBorder="1"/>
    <xf numFmtId="164" fontId="26" fillId="2" borderId="0" xfId="0" applyNumberFormat="1" applyFont="1" applyFill="1" applyAlignment="1">
      <alignment horizontal="center"/>
    </xf>
    <xf numFmtId="166" fontId="27" fillId="5" borderId="1" xfId="0" applyNumberFormat="1" applyFont="1" applyFill="1" applyBorder="1" applyAlignment="1">
      <alignment horizontal="right"/>
    </xf>
    <xf numFmtId="166" fontId="4" fillId="0" borderId="1" xfId="0" applyNumberFormat="1" applyFont="1" applyBorder="1"/>
    <xf numFmtId="3" fontId="22" fillId="0" borderId="1" xfId="0" applyNumberFormat="1" applyFont="1" applyBorder="1" applyAlignment="1">
      <alignment horizontal="right"/>
    </xf>
    <xf numFmtId="167" fontId="22" fillId="0" borderId="1" xfId="0" applyNumberFormat="1" applyFont="1" applyBorder="1" applyAlignment="1">
      <alignment horizontal="right"/>
    </xf>
    <xf numFmtId="0" fontId="8" fillId="6" borderId="1" xfId="0" applyFont="1" applyFill="1" applyBorder="1" applyAlignment="1">
      <alignment horizontal="center"/>
    </xf>
    <xf numFmtId="0" fontId="28" fillId="6" borderId="1" xfId="0" applyFont="1" applyFill="1" applyBorder="1" applyAlignment="1">
      <alignment horizontal="center"/>
    </xf>
    <xf numFmtId="0" fontId="9" fillId="6" borderId="1" xfId="0" applyFont="1" applyFill="1" applyBorder="1" applyAlignment="1">
      <alignment horizontal="left"/>
    </xf>
    <xf numFmtId="0" fontId="8" fillId="0" borderId="1" xfId="0" applyFont="1" applyBorder="1" applyAlignment="1">
      <alignment horizontal="center"/>
    </xf>
    <xf numFmtId="0" fontId="28" fillId="0" borderId="1" xfId="0" applyFont="1" applyBorder="1" applyAlignment="1">
      <alignment horizontal="center"/>
    </xf>
    <xf numFmtId="0" fontId="9" fillId="0" borderId="1" xfId="0" applyFont="1" applyBorder="1" applyAlignment="1">
      <alignment horizontal="left"/>
    </xf>
    <xf numFmtId="0" fontId="3" fillId="2" borderId="0" xfId="0" applyFont="1" applyFill="1"/>
    <xf numFmtId="0" fontId="0" fillId="0" borderId="0" xfId="0"/>
    <xf numFmtId="0" fontId="15" fillId="2" borderId="1" xfId="0" applyFont="1" applyFill="1" applyBorder="1"/>
    <xf numFmtId="0" fontId="0" fillId="2" borderId="1" xfId="0" applyFill="1" applyBorder="1"/>
    <xf numFmtId="167" fontId="11" fillId="2" borderId="1" xfId="0" applyNumberFormat="1" applyFont="1" applyFill="1" applyBorder="1" applyAlignment="1">
      <alignment horizontal="center"/>
    </xf>
    <xf numFmtId="166" fontId="11" fillId="2" borderId="1" xfId="0" applyNumberFormat="1" applyFont="1" applyFill="1" applyBorder="1" applyAlignment="1">
      <alignment horizontal="center"/>
    </xf>
    <xf numFmtId="0" fontId="14" fillId="0" borderId="0" xfId="0" applyFont="1"/>
    <xf numFmtId="0" fontId="16" fillId="2" borderId="1" xfId="0" applyFont="1" applyFill="1" applyBorder="1" applyAlignment="1">
      <alignment horizontal="center"/>
    </xf>
    <xf numFmtId="0" fontId="17" fillId="2" borderId="0" xfId="0" applyFont="1" applyFill="1"/>
    <xf numFmtId="0" fontId="22" fillId="2" borderId="0" xfId="0" applyFont="1" applyFill="1"/>
    <xf numFmtId="0" fontId="13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tabSelected="1" workbookViewId="0"/>
  </sheetViews>
  <sheetFormatPr defaultRowHeight="14.4" x14ac:dyDescent="0.3"/>
  <cols>
    <col min="1" max="1" width="30" customWidth="1"/>
    <col min="2" max="2" width="16" customWidth="1"/>
    <col min="3" max="3" width="38" customWidth="1"/>
    <col min="4" max="4" width="26" customWidth="1"/>
    <col min="5" max="5" width="42" customWidth="1"/>
    <col min="6" max="6" width="49" customWidth="1"/>
    <col min="7" max="7" width="31" customWidth="1"/>
    <col min="8" max="8" width="50" customWidth="1"/>
    <col min="9" max="9" width="23" customWidth="1"/>
  </cols>
  <sheetData>
    <row r="1" spans="1:9" ht="18" x14ac:dyDescent="0.35">
      <c r="A1" s="1" t="s">
        <v>0</v>
      </c>
    </row>
    <row r="2" spans="1:9" x14ac:dyDescent="0.3">
      <c r="A2" s="2" t="s">
        <v>1</v>
      </c>
    </row>
    <row r="4" spans="1:9" x14ac:dyDescent="0.3">
      <c r="A4" s="58" t="s">
        <v>2</v>
      </c>
      <c r="B4" s="59"/>
      <c r="C4" s="59"/>
      <c r="E4" s="3" t="s">
        <v>3</v>
      </c>
      <c r="F4" s="3" t="s">
        <v>4</v>
      </c>
      <c r="G4" s="3" t="s">
        <v>5</v>
      </c>
      <c r="H4" s="3" t="s">
        <v>6</v>
      </c>
    </row>
    <row r="5" spans="1:9" ht="15.6" x14ac:dyDescent="0.3">
      <c r="A5" s="4" t="s">
        <v>7</v>
      </c>
      <c r="B5" s="5">
        <v>1</v>
      </c>
      <c r="C5" s="6" t="str">
        <f>INDEX(E5:E8, B5)</f>
        <v>Base Case (Q4 Approved SFDC)</v>
      </c>
      <c r="E5" s="7" t="s">
        <v>8</v>
      </c>
      <c r="F5" s="8">
        <v>0</v>
      </c>
      <c r="G5" s="9">
        <v>-1.35</v>
      </c>
      <c r="H5" s="10" t="s">
        <v>9</v>
      </c>
    </row>
    <row r="6" spans="1:9" x14ac:dyDescent="0.3">
      <c r="E6" s="7" t="s">
        <v>10</v>
      </c>
      <c r="F6" s="8">
        <v>3.7999999999999999E-2</v>
      </c>
      <c r="G6" s="9">
        <v>-1.35</v>
      </c>
      <c r="H6" s="10" t="s">
        <v>11</v>
      </c>
    </row>
    <row r="7" spans="1:9" x14ac:dyDescent="0.3">
      <c r="E7" s="7" t="s">
        <v>12</v>
      </c>
      <c r="F7" s="8">
        <v>-3.5000000000000003E-2</v>
      </c>
      <c r="G7" s="9">
        <v>-1.55</v>
      </c>
      <c r="H7" s="10" t="s">
        <v>13</v>
      </c>
    </row>
    <row r="8" spans="1:9" x14ac:dyDescent="0.3">
      <c r="E8" s="7" t="s">
        <v>14</v>
      </c>
      <c r="F8" s="8">
        <v>0.06</v>
      </c>
      <c r="G8" s="9">
        <v>-1.1000000000000001</v>
      </c>
      <c r="H8" s="10" t="s">
        <v>15</v>
      </c>
    </row>
    <row r="11" spans="1:9" x14ac:dyDescent="0.3">
      <c r="A11" s="58" t="s">
        <v>16</v>
      </c>
      <c r="B11" s="59"/>
      <c r="C11" s="59"/>
      <c r="D11" s="59"/>
      <c r="F11" s="58" t="s">
        <v>17</v>
      </c>
      <c r="G11" s="59"/>
      <c r="H11" s="59"/>
      <c r="I11" s="59"/>
    </row>
    <row r="12" spans="1:9" x14ac:dyDescent="0.3">
      <c r="A12" s="3" t="s">
        <v>18</v>
      </c>
      <c r="B12" s="3" t="s">
        <v>19</v>
      </c>
      <c r="C12" s="3" t="s">
        <v>20</v>
      </c>
      <c r="D12" s="3" t="s">
        <v>21</v>
      </c>
      <c r="F12" s="3" t="s">
        <v>22</v>
      </c>
      <c r="G12" s="3" t="s">
        <v>23</v>
      </c>
      <c r="H12" s="3" t="s">
        <v>24</v>
      </c>
      <c r="I12" s="3" t="s">
        <v>25</v>
      </c>
    </row>
    <row r="13" spans="1:9" x14ac:dyDescent="0.3">
      <c r="A13" s="11" t="s">
        <v>26</v>
      </c>
      <c r="B13" s="12">
        <v>1</v>
      </c>
      <c r="C13" s="12">
        <v>1</v>
      </c>
      <c r="D13" s="8">
        <f>(C13-B13)/B13</f>
        <v>0</v>
      </c>
      <c r="F13" s="13" t="s">
        <v>27</v>
      </c>
      <c r="G13" s="7" t="s">
        <v>28</v>
      </c>
      <c r="H13" s="14">
        <v>14.5</v>
      </c>
      <c r="I13" s="14">
        <v>1.8</v>
      </c>
    </row>
    <row r="14" spans="1:9" x14ac:dyDescent="0.3">
      <c r="A14" s="11" t="s">
        <v>29</v>
      </c>
      <c r="B14" s="12">
        <v>1.17</v>
      </c>
      <c r="C14" s="12">
        <v>1.175</v>
      </c>
      <c r="D14" s="8">
        <f>(C14-B14)/B14</f>
        <v>4.2735042735043728E-3</v>
      </c>
      <c r="F14" s="13" t="s">
        <v>30</v>
      </c>
      <c r="G14" s="7" t="s">
        <v>31</v>
      </c>
      <c r="H14" s="14">
        <v>28</v>
      </c>
      <c r="I14" s="14">
        <v>3.5</v>
      </c>
    </row>
    <row r="15" spans="1:9" x14ac:dyDescent="0.3">
      <c r="A15" s="11" t="s">
        <v>32</v>
      </c>
      <c r="B15" s="12">
        <v>8.5999999999999993E-2</v>
      </c>
      <c r="C15" s="12">
        <v>8.4000000000000005E-2</v>
      </c>
      <c r="D15" s="8">
        <f>(C15-B15)/B15</f>
        <v>-2.3255813953488233E-2</v>
      </c>
      <c r="F15" s="13" t="s">
        <v>33</v>
      </c>
      <c r="G15" s="7" t="s">
        <v>34</v>
      </c>
      <c r="H15" s="14">
        <v>38</v>
      </c>
      <c r="I15" s="14">
        <v>3.8</v>
      </c>
    </row>
    <row r="16" spans="1:9" x14ac:dyDescent="0.3">
      <c r="A16" s="11" t="s">
        <v>35</v>
      </c>
      <c r="B16" s="12">
        <v>0.13400000000000001</v>
      </c>
      <c r="C16" s="12">
        <v>0.13400000000000001</v>
      </c>
      <c r="D16" s="8">
        <f>(C16-B16)/B16</f>
        <v>0</v>
      </c>
      <c r="F16" s="13" t="s">
        <v>36</v>
      </c>
      <c r="G16" s="7" t="s">
        <v>37</v>
      </c>
      <c r="H16" s="14">
        <v>25</v>
      </c>
      <c r="I16" s="14">
        <v>0</v>
      </c>
    </row>
    <row r="19" spans="1:6" x14ac:dyDescent="0.3">
      <c r="A19" s="58" t="s">
        <v>38</v>
      </c>
      <c r="B19" s="59"/>
      <c r="C19" s="59"/>
      <c r="D19" s="59"/>
      <c r="E19" s="59"/>
      <c r="F19" s="59"/>
    </row>
    <row r="20" spans="1:6" x14ac:dyDescent="0.3">
      <c r="A20" s="3" t="s">
        <v>39</v>
      </c>
      <c r="B20" s="3" t="s">
        <v>40</v>
      </c>
      <c r="C20" s="3" t="s">
        <v>41</v>
      </c>
      <c r="D20" s="3" t="s">
        <v>42</v>
      </c>
      <c r="E20" s="3" t="s">
        <v>43</v>
      </c>
      <c r="F20" s="3" t="s">
        <v>44</v>
      </c>
    </row>
    <row r="21" spans="1:6" x14ac:dyDescent="0.3">
      <c r="A21" s="13" t="s">
        <v>45</v>
      </c>
      <c r="B21" s="15">
        <v>0.32</v>
      </c>
      <c r="C21" s="15">
        <v>3.5000000000000003E-2</v>
      </c>
      <c r="D21" s="15">
        <v>1.4999999999999999E-2</v>
      </c>
      <c r="E21" s="15">
        <v>0.01</v>
      </c>
      <c r="F21" s="10" t="s">
        <v>46</v>
      </c>
    </row>
    <row r="22" spans="1:6" x14ac:dyDescent="0.3">
      <c r="A22" s="13" t="s">
        <v>47</v>
      </c>
      <c r="B22" s="15">
        <v>0</v>
      </c>
      <c r="C22" s="15">
        <v>0</v>
      </c>
      <c r="D22" s="15">
        <v>0</v>
      </c>
      <c r="E22" s="15">
        <v>0.02</v>
      </c>
      <c r="F22" s="10" t="s">
        <v>48</v>
      </c>
    </row>
    <row r="23" spans="1:6" x14ac:dyDescent="0.3">
      <c r="A23" s="13" t="s">
        <v>49</v>
      </c>
      <c r="B23" s="15">
        <v>0.28000000000000003</v>
      </c>
      <c r="C23" s="15">
        <v>0.02</v>
      </c>
      <c r="D23" s="15">
        <v>0</v>
      </c>
      <c r="E23" s="15">
        <v>0</v>
      </c>
      <c r="F23" s="10" t="s">
        <v>50</v>
      </c>
    </row>
    <row r="24" spans="1:6" x14ac:dyDescent="0.3">
      <c r="A24" s="13" t="s">
        <v>51</v>
      </c>
      <c r="B24" s="15">
        <v>0.25</v>
      </c>
      <c r="C24" s="15">
        <v>2.5000000000000001E-2</v>
      </c>
      <c r="D24" s="15">
        <v>0.01</v>
      </c>
      <c r="E24" s="15">
        <v>0.01</v>
      </c>
      <c r="F24" s="10" t="s">
        <v>52</v>
      </c>
    </row>
  </sheetData>
  <mergeCells count="4">
    <mergeCell ref="A19:F19"/>
    <mergeCell ref="A4:C4"/>
    <mergeCell ref="F11:I11"/>
    <mergeCell ref="A11:D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"/>
  <sheetViews>
    <sheetView workbookViewId="0"/>
  </sheetViews>
  <sheetFormatPr defaultRowHeight="14.4" x14ac:dyDescent="0.3"/>
  <cols>
    <col min="1" max="1" width="14" customWidth="1"/>
    <col min="2" max="2" width="45" customWidth="1"/>
    <col min="3" max="3" width="35" customWidth="1"/>
    <col min="4" max="4" width="19" customWidth="1"/>
    <col min="5" max="5" width="16" customWidth="1"/>
    <col min="6" max="7" width="24" customWidth="1"/>
    <col min="8" max="8" width="19" customWidth="1"/>
  </cols>
  <sheetData>
    <row r="1" spans="1:8" ht="19.8" x14ac:dyDescent="0.4">
      <c r="A1" s="16" t="s">
        <v>53</v>
      </c>
    </row>
    <row r="2" spans="1:8" x14ac:dyDescent="0.3">
      <c r="A2" s="17" t="s">
        <v>54</v>
      </c>
    </row>
    <row r="4" spans="1:8" ht="15.6" x14ac:dyDescent="0.3">
      <c r="A4" s="18" t="s">
        <v>55</v>
      </c>
      <c r="C4" s="64" t="str">
        <f>Control_and_Parameters!C5</f>
        <v>Base Case (Q4 Approved SFDC)</v>
      </c>
      <c r="D4" s="59"/>
      <c r="E4" s="59"/>
      <c r="F4" s="59"/>
    </row>
    <row r="6" spans="1:8" x14ac:dyDescent="0.3">
      <c r="A6" s="60" t="s">
        <v>56</v>
      </c>
      <c r="B6" s="61"/>
      <c r="C6" s="60" t="s">
        <v>57</v>
      </c>
      <c r="D6" s="61"/>
      <c r="E6" s="60" t="s">
        <v>58</v>
      </c>
      <c r="F6" s="61"/>
      <c r="G6" s="60" t="s">
        <v>59</v>
      </c>
      <c r="H6" s="61"/>
    </row>
    <row r="7" spans="1:8" ht="19.8" x14ac:dyDescent="0.4">
      <c r="A7" s="63">
        <f>AVERAGE(Gross_to_Net_Waterfall!I5:I14)</f>
        <v>85.378999999999991</v>
      </c>
      <c r="B7" s="61"/>
      <c r="C7" s="62">
        <f>AVERAGE(Gross_to_Net_Waterfall!I5:I14)/AVERAGE(Gross_to_Net_Waterfall!C5:C14)</f>
        <v>0.69836816490123099</v>
      </c>
      <c r="D7" s="61"/>
      <c r="E7" s="62">
        <f>AVERAGE(Gross_to_Net_Waterfall!L5:L14)</f>
        <v>0.70604949282244189</v>
      </c>
      <c r="F7" s="61"/>
      <c r="G7" s="62">
        <f>COUNTIF(Price_Book_Master!M5:M14, "Deployed")/COUNTA(Price_Book_Master!M5:M14)</f>
        <v>1</v>
      </c>
      <c r="H7" s="61"/>
    </row>
    <row r="8" spans="1:8" x14ac:dyDescent="0.3">
      <c r="A8" s="65" t="s">
        <v>60</v>
      </c>
      <c r="B8" s="61"/>
      <c r="C8" s="65" t="s">
        <v>61</v>
      </c>
      <c r="D8" s="61"/>
      <c r="E8" s="65" t="s">
        <v>62</v>
      </c>
      <c r="F8" s="61"/>
      <c r="G8" s="65" t="s">
        <v>63</v>
      </c>
      <c r="H8" s="61"/>
    </row>
    <row r="11" spans="1:8" x14ac:dyDescent="0.3">
      <c r="A11" s="66" t="s">
        <v>64</v>
      </c>
      <c r="B11" s="59"/>
      <c r="C11" s="59"/>
      <c r="D11" s="59"/>
      <c r="E11" s="59"/>
      <c r="F11" s="59"/>
      <c r="G11" s="59"/>
      <c r="H11" s="59"/>
    </row>
    <row r="12" spans="1:8" x14ac:dyDescent="0.3">
      <c r="A12" s="3" t="s">
        <v>65</v>
      </c>
      <c r="B12" s="19" t="s">
        <v>66</v>
      </c>
      <c r="C12" s="3" t="s">
        <v>67</v>
      </c>
      <c r="D12" s="3" t="s">
        <v>68</v>
      </c>
      <c r="E12" s="3" t="s">
        <v>69</v>
      </c>
      <c r="F12" s="19" t="s">
        <v>70</v>
      </c>
      <c r="G12" s="19" t="s">
        <v>71</v>
      </c>
      <c r="H12" s="3" t="s">
        <v>72</v>
      </c>
    </row>
    <row r="13" spans="1:8" x14ac:dyDescent="0.3">
      <c r="A13" s="11">
        <v>1</v>
      </c>
      <c r="B13" s="7" t="str">
        <f>Control_and_Parameters!E5</f>
        <v>Base Case (Q4 Approved SFDC)</v>
      </c>
      <c r="C13" s="8">
        <f>Control_and_Parameters!F5</f>
        <v>0</v>
      </c>
      <c r="D13" s="9">
        <f>Control_and_Parameters!G5</f>
        <v>-1.35</v>
      </c>
      <c r="E13" s="12">
        <f>0.75 * (1 + C13 * D13)</f>
        <v>0.75</v>
      </c>
      <c r="F13" s="14">
        <f>E13 * 65.5 * (1 + C13)</f>
        <v>49.125</v>
      </c>
      <c r="G13" s="20">
        <f>E13 * ((65.5 * (1 + C13)) - 22.8)</f>
        <v>32.025000000000006</v>
      </c>
      <c r="H13" s="21">
        <f>G13/F13</f>
        <v>0.65190839694656499</v>
      </c>
    </row>
    <row r="14" spans="1:8" x14ac:dyDescent="0.3">
      <c r="A14" s="11">
        <v>2</v>
      </c>
      <c r="B14" s="7" t="str">
        <f>Control_and_Parameters!E6</f>
        <v>Scenario 1: Inflationary Indexation (+3.8%)</v>
      </c>
      <c r="C14" s="8">
        <f>Control_and_Parameters!F6</f>
        <v>3.7999999999999999E-2</v>
      </c>
      <c r="D14" s="9">
        <f>Control_and_Parameters!G6</f>
        <v>-1.35</v>
      </c>
      <c r="E14" s="12">
        <f>0.75 * (1 + C14 * D14)</f>
        <v>0.71152499999999996</v>
      </c>
      <c r="F14" s="14">
        <f>E14 * 65.5 * (1 + C14)</f>
        <v>48.375873224999999</v>
      </c>
      <c r="G14" s="20">
        <f>E14 * ((65.5 * (1 + C14)) - 22.8)</f>
        <v>32.153103225000002</v>
      </c>
      <c r="H14" s="21">
        <f>G14/F14</f>
        <v>0.66465163482328027</v>
      </c>
    </row>
    <row r="15" spans="1:8" x14ac:dyDescent="0.3">
      <c r="A15" s="11">
        <v>3</v>
      </c>
      <c r="B15" s="7" t="str">
        <f>Control_and_Parameters!E7</f>
        <v>Scenario 2: Tier-1 Volume Concession (-3.5%)</v>
      </c>
      <c r="C15" s="8">
        <f>Control_and_Parameters!F7</f>
        <v>-3.5000000000000003E-2</v>
      </c>
      <c r="D15" s="9">
        <f>Control_and_Parameters!G7</f>
        <v>-1.55</v>
      </c>
      <c r="E15" s="12">
        <f>0.75 * (1 + C15 * D15)</f>
        <v>0.79068749999999999</v>
      </c>
      <c r="F15" s="14">
        <f>E15 * 65.5 * (1 + C15)</f>
        <v>49.97738015625</v>
      </c>
      <c r="G15" s="20">
        <f>E15 * ((65.5 * (1 + C15)) - 22.8)</f>
        <v>31.949705156249998</v>
      </c>
      <c r="H15" s="21">
        <f>G15/F15</f>
        <v>0.63928331289799467</v>
      </c>
    </row>
    <row r="16" spans="1:8" x14ac:dyDescent="0.3">
      <c r="A16" s="11">
        <v>4</v>
      </c>
      <c r="B16" s="7" t="str">
        <f>Control_and_Parameters!E8</f>
        <v>Scenario 3: Nordics FX Depreciation Hedge (+6.0%)</v>
      </c>
      <c r="C16" s="8">
        <f>Control_and_Parameters!F8</f>
        <v>0.06</v>
      </c>
      <c r="D16" s="9">
        <f>Control_and_Parameters!G8</f>
        <v>-1.1000000000000001</v>
      </c>
      <c r="E16" s="12">
        <f>0.75 * (1 + C16 * D16)</f>
        <v>0.7004999999999999</v>
      </c>
      <c r="F16" s="14">
        <f>E16 * 65.5 * (1 + C16)</f>
        <v>48.635714999999998</v>
      </c>
      <c r="G16" s="20">
        <f>E16 * ((65.5 * (1 + C16)) - 22.8)</f>
        <v>32.664315000000002</v>
      </c>
      <c r="H16" s="21">
        <f>G16/F16</f>
        <v>0.67161169523260844</v>
      </c>
    </row>
  </sheetData>
  <mergeCells count="14">
    <mergeCell ref="C4:F4"/>
    <mergeCell ref="E8:F8"/>
    <mergeCell ref="A11:H11"/>
    <mergeCell ref="G6:H6"/>
    <mergeCell ref="G8:H8"/>
    <mergeCell ref="A8:B8"/>
    <mergeCell ref="A6:B6"/>
    <mergeCell ref="C8:D8"/>
    <mergeCell ref="E6:F6"/>
    <mergeCell ref="C6:D6"/>
    <mergeCell ref="C7:D7"/>
    <mergeCell ref="A7:B7"/>
    <mergeCell ref="G7:H7"/>
    <mergeCell ref="E7:F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4"/>
  <sheetViews>
    <sheetView workbookViewId="0"/>
  </sheetViews>
  <sheetFormatPr defaultRowHeight="14.4" x14ac:dyDescent="0.3"/>
  <cols>
    <col min="1" max="1" width="22" customWidth="1"/>
    <col min="2" max="2" width="44" customWidth="1"/>
    <col min="3" max="3" width="22" customWidth="1"/>
    <col min="4" max="4" width="25" customWidth="1"/>
    <col min="5" max="5" width="11" customWidth="1"/>
    <col min="6" max="6" width="21" customWidth="1"/>
    <col min="7" max="8" width="19" customWidth="1"/>
    <col min="9" max="9" width="18" customWidth="1"/>
    <col min="10" max="10" width="25" customWidth="1"/>
    <col min="11" max="11" width="20" customWidth="1"/>
    <col min="12" max="12" width="17" customWidth="1"/>
    <col min="13" max="13" width="12" customWidth="1"/>
    <col min="14" max="14" width="24" customWidth="1"/>
  </cols>
  <sheetData>
    <row r="1" spans="1:14" ht="18" x14ac:dyDescent="0.35">
      <c r="A1" s="1" t="s">
        <v>73</v>
      </c>
    </row>
    <row r="2" spans="1:14" x14ac:dyDescent="0.3">
      <c r="A2" s="2" t="s">
        <v>74</v>
      </c>
    </row>
    <row r="4" spans="1:14" x14ac:dyDescent="0.3">
      <c r="A4" s="3" t="s">
        <v>22</v>
      </c>
      <c r="B4" s="19" t="s">
        <v>75</v>
      </c>
      <c r="C4" s="3" t="s">
        <v>76</v>
      </c>
      <c r="D4" s="3" t="s">
        <v>39</v>
      </c>
      <c r="E4" s="3" t="s">
        <v>77</v>
      </c>
      <c r="F4" s="19" t="s">
        <v>78</v>
      </c>
      <c r="G4" s="19" t="s">
        <v>79</v>
      </c>
      <c r="H4" s="19" t="s">
        <v>80</v>
      </c>
      <c r="I4" s="19" t="s">
        <v>81</v>
      </c>
      <c r="J4" s="19" t="s">
        <v>82</v>
      </c>
      <c r="K4" s="3" t="s">
        <v>83</v>
      </c>
      <c r="L4" s="3" t="s">
        <v>84</v>
      </c>
      <c r="M4" s="3" t="s">
        <v>85</v>
      </c>
      <c r="N4" s="3" t="s">
        <v>86</v>
      </c>
    </row>
    <row r="5" spans="1:14" x14ac:dyDescent="0.3">
      <c r="A5" s="13" t="s">
        <v>27</v>
      </c>
      <c r="B5" s="7" t="s">
        <v>87</v>
      </c>
      <c r="C5" s="7" t="s">
        <v>88</v>
      </c>
      <c r="D5" s="7" t="s">
        <v>45</v>
      </c>
      <c r="E5" s="11" t="s">
        <v>26</v>
      </c>
      <c r="F5" s="22">
        <v>68.5</v>
      </c>
      <c r="G5" s="12">
        <f>INDEX(Control_and_Parameters!$B$13:$B$16, MATCH(E5, Control_and_Parameters!$A$13:$A$16, 0))</f>
        <v>1</v>
      </c>
      <c r="H5" s="20">
        <f t="shared" ref="H5:H14" si="0">ROUND(F5 * G5, 2)</f>
        <v>68.5</v>
      </c>
      <c r="I5" s="15">
        <f>INDEX(Control_and_Parameters!$B$21:$B$24, MATCH(D5, Control_and_Parameters!$A$21:$A$24, 0))</f>
        <v>0.32</v>
      </c>
      <c r="J5" s="23">
        <f t="shared" ref="J5:J14" si="1">ROUND(H5 * (1 - I5), 2)</f>
        <v>46.58</v>
      </c>
      <c r="K5" s="24" t="s">
        <v>89</v>
      </c>
      <c r="L5" s="25" t="s">
        <v>90</v>
      </c>
      <c r="M5" s="26" t="s">
        <v>91</v>
      </c>
      <c r="N5" s="26" t="str">
        <f t="shared" ref="N5:N14" si="2">IF(ABS(J5 - AVERAGEIFS(J$5:J$14, A$5:A$14, A5)) / AVERAGEIFS(J$5:J$14, A$5:A$14, A5) &gt; 0.15, "ARBITRAGE RISK", "COMPLIANT")</f>
        <v>COMPLIANT</v>
      </c>
    </row>
    <row r="6" spans="1:14" x14ac:dyDescent="0.3">
      <c r="A6" s="27" t="s">
        <v>27</v>
      </c>
      <c r="B6" s="28" t="s">
        <v>87</v>
      </c>
      <c r="C6" s="28" t="s">
        <v>88</v>
      </c>
      <c r="D6" s="28" t="s">
        <v>47</v>
      </c>
      <c r="E6" s="29" t="s">
        <v>26</v>
      </c>
      <c r="F6" s="30">
        <v>72</v>
      </c>
      <c r="G6" s="31">
        <f>INDEX(Control_and_Parameters!$B$13:$B$16, MATCH(E6, Control_and_Parameters!$A$13:$A$16, 0))</f>
        <v>1</v>
      </c>
      <c r="H6" s="32">
        <f t="shared" si="0"/>
        <v>72</v>
      </c>
      <c r="I6" s="33">
        <f>INDEX(Control_and_Parameters!$B$21:$B$24, MATCH(D6, Control_and_Parameters!$A$21:$A$24, 0))</f>
        <v>0</v>
      </c>
      <c r="J6" s="34">
        <f t="shared" si="1"/>
        <v>72</v>
      </c>
      <c r="K6" s="35" t="s">
        <v>92</v>
      </c>
      <c r="L6" s="36" t="s">
        <v>90</v>
      </c>
      <c r="M6" s="26" t="s">
        <v>91</v>
      </c>
      <c r="N6" s="26" t="str">
        <f t="shared" si="2"/>
        <v>ARBITRAGE RISK</v>
      </c>
    </row>
    <row r="7" spans="1:14" x14ac:dyDescent="0.3">
      <c r="A7" s="13" t="s">
        <v>27</v>
      </c>
      <c r="B7" s="7" t="s">
        <v>87</v>
      </c>
      <c r="C7" s="7" t="s">
        <v>93</v>
      </c>
      <c r="D7" s="7" t="s">
        <v>45</v>
      </c>
      <c r="E7" s="11" t="s">
        <v>29</v>
      </c>
      <c r="F7" s="22">
        <v>58</v>
      </c>
      <c r="G7" s="12">
        <f>INDEX(Control_and_Parameters!$B$13:$B$16, MATCH(E7, Control_and_Parameters!$A$13:$A$16, 0))</f>
        <v>1.17</v>
      </c>
      <c r="H7" s="20">
        <f t="shared" si="0"/>
        <v>67.86</v>
      </c>
      <c r="I7" s="15">
        <f>INDEX(Control_and_Parameters!$B$21:$B$24, MATCH(D7, Control_and_Parameters!$A$21:$A$24, 0))</f>
        <v>0.32</v>
      </c>
      <c r="J7" s="23">
        <f t="shared" si="1"/>
        <v>46.14</v>
      </c>
      <c r="K7" s="24" t="s">
        <v>94</v>
      </c>
      <c r="L7" s="25" t="s">
        <v>95</v>
      </c>
      <c r="M7" s="26" t="s">
        <v>91</v>
      </c>
      <c r="N7" s="26" t="str">
        <f t="shared" si="2"/>
        <v>COMPLIANT</v>
      </c>
    </row>
    <row r="8" spans="1:14" x14ac:dyDescent="0.3">
      <c r="A8" s="27" t="s">
        <v>27</v>
      </c>
      <c r="B8" s="28" t="s">
        <v>87</v>
      </c>
      <c r="C8" s="28" t="s">
        <v>96</v>
      </c>
      <c r="D8" s="28" t="s">
        <v>49</v>
      </c>
      <c r="E8" s="29" t="s">
        <v>26</v>
      </c>
      <c r="F8" s="30">
        <v>64</v>
      </c>
      <c r="G8" s="31">
        <f>INDEX(Control_and_Parameters!$B$13:$B$16, MATCH(E8, Control_and_Parameters!$A$13:$A$16, 0))</f>
        <v>1</v>
      </c>
      <c r="H8" s="32">
        <f t="shared" si="0"/>
        <v>64</v>
      </c>
      <c r="I8" s="33">
        <f>INDEX(Control_and_Parameters!$B$21:$B$24, MATCH(D8, Control_and_Parameters!$A$21:$A$24, 0))</f>
        <v>0.28000000000000003</v>
      </c>
      <c r="J8" s="34">
        <f t="shared" si="1"/>
        <v>46.08</v>
      </c>
      <c r="K8" s="35" t="s">
        <v>97</v>
      </c>
      <c r="L8" s="36" t="s">
        <v>98</v>
      </c>
      <c r="M8" s="26" t="s">
        <v>91</v>
      </c>
      <c r="N8" s="26" t="str">
        <f t="shared" si="2"/>
        <v>COMPLIANT</v>
      </c>
    </row>
    <row r="9" spans="1:14" x14ac:dyDescent="0.3">
      <c r="A9" s="13" t="s">
        <v>27</v>
      </c>
      <c r="B9" s="7" t="s">
        <v>87</v>
      </c>
      <c r="C9" s="7" t="s">
        <v>99</v>
      </c>
      <c r="D9" s="7" t="s">
        <v>51</v>
      </c>
      <c r="E9" s="11" t="s">
        <v>32</v>
      </c>
      <c r="F9" s="22">
        <v>790</v>
      </c>
      <c r="G9" s="12">
        <f>INDEX(Control_and_Parameters!$B$13:$B$16, MATCH(E9, Control_and_Parameters!$A$13:$A$16, 0))</f>
        <v>8.5999999999999993E-2</v>
      </c>
      <c r="H9" s="20">
        <f t="shared" si="0"/>
        <v>67.94</v>
      </c>
      <c r="I9" s="15">
        <f>INDEX(Control_and_Parameters!$B$21:$B$24, MATCH(D9, Control_and_Parameters!$A$21:$A$24, 0))</f>
        <v>0.25</v>
      </c>
      <c r="J9" s="23">
        <f t="shared" si="1"/>
        <v>50.96</v>
      </c>
      <c r="K9" s="24" t="s">
        <v>100</v>
      </c>
      <c r="L9" s="25" t="s">
        <v>101</v>
      </c>
      <c r="M9" s="26" t="s">
        <v>91</v>
      </c>
      <c r="N9" s="26" t="str">
        <f t="shared" si="2"/>
        <v>COMPLIANT</v>
      </c>
    </row>
    <row r="10" spans="1:14" x14ac:dyDescent="0.3">
      <c r="A10" s="27" t="s">
        <v>27</v>
      </c>
      <c r="B10" s="28" t="s">
        <v>87</v>
      </c>
      <c r="C10" s="28" t="s">
        <v>102</v>
      </c>
      <c r="D10" s="28" t="s">
        <v>45</v>
      </c>
      <c r="E10" s="29" t="s">
        <v>26</v>
      </c>
      <c r="F10" s="30">
        <v>66</v>
      </c>
      <c r="G10" s="31">
        <f>INDEX(Control_and_Parameters!$B$13:$B$16, MATCH(E10, Control_and_Parameters!$A$13:$A$16, 0))</f>
        <v>1</v>
      </c>
      <c r="H10" s="32">
        <f t="shared" si="0"/>
        <v>66</v>
      </c>
      <c r="I10" s="33">
        <f>INDEX(Control_and_Parameters!$B$21:$B$24, MATCH(D10, Control_and_Parameters!$A$21:$A$24, 0))</f>
        <v>0.32</v>
      </c>
      <c r="J10" s="34">
        <f t="shared" si="1"/>
        <v>44.88</v>
      </c>
      <c r="K10" s="35" t="s">
        <v>103</v>
      </c>
      <c r="L10" s="36" t="s">
        <v>104</v>
      </c>
      <c r="M10" s="26" t="s">
        <v>91</v>
      </c>
      <c r="N10" s="26" t="str">
        <f t="shared" si="2"/>
        <v>COMPLIANT</v>
      </c>
    </row>
    <row r="11" spans="1:14" x14ac:dyDescent="0.3">
      <c r="A11" s="13" t="s">
        <v>30</v>
      </c>
      <c r="B11" s="7" t="s">
        <v>105</v>
      </c>
      <c r="C11" s="7" t="s">
        <v>88</v>
      </c>
      <c r="D11" s="7" t="s">
        <v>45</v>
      </c>
      <c r="E11" s="11" t="s">
        <v>26</v>
      </c>
      <c r="F11" s="22">
        <v>145</v>
      </c>
      <c r="G11" s="12">
        <f>INDEX(Control_and_Parameters!$B$13:$B$16, MATCH(E11, Control_and_Parameters!$A$13:$A$16, 0))</f>
        <v>1</v>
      </c>
      <c r="H11" s="20">
        <f t="shared" si="0"/>
        <v>145</v>
      </c>
      <c r="I11" s="15">
        <f>INDEX(Control_and_Parameters!$B$21:$B$24, MATCH(D11, Control_and_Parameters!$A$21:$A$24, 0))</f>
        <v>0.32</v>
      </c>
      <c r="J11" s="23">
        <f t="shared" si="1"/>
        <v>98.6</v>
      </c>
      <c r="K11" s="24" t="s">
        <v>106</v>
      </c>
      <c r="L11" s="25" t="s">
        <v>107</v>
      </c>
      <c r="M11" s="26" t="s">
        <v>91</v>
      </c>
      <c r="N11" s="26" t="str">
        <f t="shared" si="2"/>
        <v>ARBITRAGE RISK</v>
      </c>
    </row>
    <row r="12" spans="1:14" x14ac:dyDescent="0.3">
      <c r="A12" s="27" t="s">
        <v>30</v>
      </c>
      <c r="B12" s="28" t="s">
        <v>105</v>
      </c>
      <c r="C12" s="28" t="s">
        <v>93</v>
      </c>
      <c r="D12" s="28" t="s">
        <v>47</v>
      </c>
      <c r="E12" s="29" t="s">
        <v>29</v>
      </c>
      <c r="F12" s="30">
        <v>125</v>
      </c>
      <c r="G12" s="31">
        <f>INDEX(Control_and_Parameters!$B$13:$B$16, MATCH(E12, Control_and_Parameters!$A$13:$A$16, 0))</f>
        <v>1.17</v>
      </c>
      <c r="H12" s="32">
        <f t="shared" si="0"/>
        <v>146.25</v>
      </c>
      <c r="I12" s="33">
        <f>INDEX(Control_and_Parameters!$B$21:$B$24, MATCH(D12, Control_and_Parameters!$A$21:$A$24, 0))</f>
        <v>0</v>
      </c>
      <c r="J12" s="34">
        <f t="shared" si="1"/>
        <v>146.25</v>
      </c>
      <c r="K12" s="35" t="s">
        <v>108</v>
      </c>
      <c r="L12" s="36" t="s">
        <v>107</v>
      </c>
      <c r="M12" s="26" t="s">
        <v>91</v>
      </c>
      <c r="N12" s="26" t="str">
        <f t="shared" si="2"/>
        <v>ARBITRAGE RISK</v>
      </c>
    </row>
    <row r="13" spans="1:14" x14ac:dyDescent="0.3">
      <c r="A13" s="13" t="s">
        <v>33</v>
      </c>
      <c r="B13" s="7" t="s">
        <v>109</v>
      </c>
      <c r="C13" s="7" t="s">
        <v>96</v>
      </c>
      <c r="D13" s="7" t="s">
        <v>45</v>
      </c>
      <c r="E13" s="11" t="s">
        <v>26</v>
      </c>
      <c r="F13" s="22">
        <v>175</v>
      </c>
      <c r="G13" s="12">
        <f>INDEX(Control_and_Parameters!$B$13:$B$16, MATCH(E13, Control_and_Parameters!$A$13:$A$16, 0))</f>
        <v>1</v>
      </c>
      <c r="H13" s="20">
        <f t="shared" si="0"/>
        <v>175</v>
      </c>
      <c r="I13" s="15">
        <f>INDEX(Control_and_Parameters!$B$21:$B$24, MATCH(D13, Control_and_Parameters!$A$21:$A$24, 0))</f>
        <v>0.32</v>
      </c>
      <c r="J13" s="23">
        <f t="shared" si="1"/>
        <v>119</v>
      </c>
      <c r="K13" s="24" t="s">
        <v>110</v>
      </c>
      <c r="L13" s="25" t="s">
        <v>111</v>
      </c>
      <c r="M13" s="26" t="s">
        <v>91</v>
      </c>
      <c r="N13" s="26" t="str">
        <f t="shared" si="2"/>
        <v>COMPLIANT</v>
      </c>
    </row>
    <row r="14" spans="1:14" x14ac:dyDescent="0.3">
      <c r="A14" s="27" t="s">
        <v>36</v>
      </c>
      <c r="B14" s="28" t="s">
        <v>112</v>
      </c>
      <c r="C14" s="28" t="s">
        <v>113</v>
      </c>
      <c r="D14" s="28" t="s">
        <v>49</v>
      </c>
      <c r="E14" s="29" t="s">
        <v>26</v>
      </c>
      <c r="F14" s="30">
        <v>350</v>
      </c>
      <c r="G14" s="31">
        <f>INDEX(Control_and_Parameters!$B$13:$B$16, MATCH(E14, Control_and_Parameters!$A$13:$A$16, 0))</f>
        <v>1</v>
      </c>
      <c r="H14" s="32">
        <f t="shared" si="0"/>
        <v>350</v>
      </c>
      <c r="I14" s="33">
        <f>INDEX(Control_and_Parameters!$B$21:$B$24, MATCH(D14, Control_and_Parameters!$A$21:$A$24, 0))</f>
        <v>0.28000000000000003</v>
      </c>
      <c r="J14" s="34">
        <f t="shared" si="1"/>
        <v>252</v>
      </c>
      <c r="K14" s="35" t="s">
        <v>114</v>
      </c>
      <c r="L14" s="36" t="s">
        <v>115</v>
      </c>
      <c r="M14" s="26" t="s">
        <v>91</v>
      </c>
      <c r="N14" s="26" t="str">
        <f t="shared" si="2"/>
        <v>COMPLIANT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5"/>
  <sheetViews>
    <sheetView workbookViewId="0"/>
  </sheetViews>
  <sheetFormatPr defaultRowHeight="14.4" x14ac:dyDescent="0.3"/>
  <cols>
    <col min="1" max="1" width="22" customWidth="1"/>
    <col min="2" max="2" width="38" customWidth="1"/>
    <col min="3" max="3" width="17" customWidth="1"/>
    <col min="4" max="4" width="25" customWidth="1"/>
    <col min="5" max="5" width="27" customWidth="1"/>
    <col min="6" max="6" width="16" customWidth="1"/>
    <col min="7" max="7" width="17" customWidth="1"/>
    <col min="8" max="8" width="26" customWidth="1"/>
    <col min="9" max="9" width="23" customWidth="1"/>
    <col min="10" max="10" width="20" customWidth="1"/>
    <col min="11" max="11" width="23" customWidth="1"/>
    <col min="12" max="12" width="15" customWidth="1"/>
    <col min="13" max="13" width="24" customWidth="1"/>
  </cols>
  <sheetData>
    <row r="1" spans="1:13" ht="18" x14ac:dyDescent="0.35">
      <c r="A1" s="1" t="s">
        <v>116</v>
      </c>
    </row>
    <row r="2" spans="1:13" x14ac:dyDescent="0.3">
      <c r="A2" s="2" t="s">
        <v>117</v>
      </c>
    </row>
    <row r="4" spans="1:13" x14ac:dyDescent="0.3">
      <c r="A4" s="3" t="s">
        <v>22</v>
      </c>
      <c r="B4" s="3" t="s">
        <v>118</v>
      </c>
      <c r="C4" s="37" t="s">
        <v>119</v>
      </c>
      <c r="D4" s="37" t="s">
        <v>120</v>
      </c>
      <c r="E4" s="37" t="s">
        <v>121</v>
      </c>
      <c r="F4" s="37" t="s">
        <v>122</v>
      </c>
      <c r="G4" s="37" t="s">
        <v>123</v>
      </c>
      <c r="H4" s="37" t="s">
        <v>124</v>
      </c>
      <c r="I4" s="37" t="s">
        <v>125</v>
      </c>
      <c r="J4" s="37" t="s">
        <v>126</v>
      </c>
      <c r="K4" s="37" t="s">
        <v>127</v>
      </c>
      <c r="L4" s="37" t="s">
        <v>128</v>
      </c>
      <c r="M4" s="3" t="s">
        <v>129</v>
      </c>
    </row>
    <row r="5" spans="1:13" x14ac:dyDescent="0.3">
      <c r="A5" s="13" t="s">
        <v>27</v>
      </c>
      <c r="B5" s="7" t="s">
        <v>130</v>
      </c>
      <c r="C5" s="14">
        <f>Price_Book_Master!H5</f>
        <v>68.5</v>
      </c>
      <c r="D5" s="14">
        <f>ROUND(C5 * Price_Book_Master!I5, 2)</f>
        <v>21.92</v>
      </c>
      <c r="E5" s="14">
        <f>ROUND(C5 * INDEX(Control_and_Parameters!$C$21:$C$24, MATCH(Price_Book_Master!D5, Control_and_Parameters!$A$21:$A$24, 0)), 2)</f>
        <v>2.4</v>
      </c>
      <c r="F5" s="14">
        <f>ROUND(C5 * INDEX(Control_and_Parameters!$D$21:$D$24, MATCH(Price_Book_Master!D5, Control_and_Parameters!$A$21:$A$24, 0)), 2)</f>
        <v>1.03</v>
      </c>
      <c r="G5" s="14">
        <f>ROUND(C5 * INDEX(Control_and_Parameters!$E$21:$E$24, MATCH(Price_Book_Master!D5, Control_and_Parameters!$A$21:$A$24, 0)), 2)</f>
        <v>0.69</v>
      </c>
      <c r="H5" s="14">
        <f>INDEX(Control_and_Parameters!$I$13:$I$16, MATCH(A5, Control_and_Parameters!$F$13:$F$16, 0))</f>
        <v>1.8</v>
      </c>
      <c r="I5" s="23">
        <f t="shared" ref="I5:I14" si="0">C5 - SUM(D5:H5)</f>
        <v>40.659999999999997</v>
      </c>
      <c r="J5" s="14">
        <f>INDEX(Control_and_Parameters!$H$13:$H$16, MATCH(A5, Control_and_Parameters!$F$13:$F$16, 0))</f>
        <v>14.5</v>
      </c>
      <c r="K5" s="20">
        <f t="shared" ref="K5:K14" si="1">I5 - J5</f>
        <v>26.159999999999997</v>
      </c>
      <c r="L5" s="21">
        <f t="shared" ref="L5:L15" si="2">K5 / I5</f>
        <v>0.6433841613379242</v>
      </c>
      <c r="M5" s="26" t="str">
        <f t="shared" ref="M5:M14" si="3">IF(L5&gt;=0.6, "OPTIMAL (&gt;60%)", IF(L5&gt;=0.5, "ACCEPTABLE (50-60%)", "MARGIN REVIEW (&lt;50%)"))</f>
        <v>OPTIMAL (&gt;60%)</v>
      </c>
    </row>
    <row r="6" spans="1:13" x14ac:dyDescent="0.3">
      <c r="A6" s="27" t="s">
        <v>27</v>
      </c>
      <c r="B6" s="28" t="s">
        <v>131</v>
      </c>
      <c r="C6" s="38">
        <f>Price_Book_Master!H6</f>
        <v>72</v>
      </c>
      <c r="D6" s="38">
        <f>ROUND(C6 * Price_Book_Master!I6, 2)</f>
        <v>0</v>
      </c>
      <c r="E6" s="38">
        <f>ROUND(C6 * INDEX(Control_and_Parameters!$C$21:$C$24, MATCH(Price_Book_Master!D6, Control_and_Parameters!$A$21:$A$24, 0)), 2)</f>
        <v>0</v>
      </c>
      <c r="F6" s="38">
        <f>ROUND(C6 * INDEX(Control_and_Parameters!$D$21:$D$24, MATCH(Price_Book_Master!D6, Control_and_Parameters!$A$21:$A$24, 0)), 2)</f>
        <v>0</v>
      </c>
      <c r="G6" s="38">
        <f>ROUND(C6 * INDEX(Control_and_Parameters!$E$21:$E$24, MATCH(Price_Book_Master!D6, Control_and_Parameters!$A$21:$A$24, 0)), 2)</f>
        <v>1.44</v>
      </c>
      <c r="H6" s="38">
        <f>INDEX(Control_and_Parameters!$I$13:$I$16, MATCH(A6, Control_and_Parameters!$F$13:$F$16, 0))</f>
        <v>1.8</v>
      </c>
      <c r="I6" s="34">
        <f t="shared" si="0"/>
        <v>68.760000000000005</v>
      </c>
      <c r="J6" s="38">
        <f>INDEX(Control_and_Parameters!$H$13:$H$16, MATCH(A6, Control_and_Parameters!$F$13:$F$16, 0))</f>
        <v>14.5</v>
      </c>
      <c r="K6" s="32">
        <f t="shared" si="1"/>
        <v>54.260000000000005</v>
      </c>
      <c r="L6" s="39">
        <f t="shared" si="2"/>
        <v>0.78912158231529961</v>
      </c>
      <c r="M6" s="26" t="str">
        <f t="shared" si="3"/>
        <v>OPTIMAL (&gt;60%)</v>
      </c>
    </row>
    <row r="7" spans="1:13" x14ac:dyDescent="0.3">
      <c r="A7" s="13" t="s">
        <v>27</v>
      </c>
      <c r="B7" s="7" t="s">
        <v>132</v>
      </c>
      <c r="C7" s="14">
        <f>Price_Book_Master!H7</f>
        <v>67.86</v>
      </c>
      <c r="D7" s="14">
        <f>ROUND(C7 * Price_Book_Master!I7, 2)</f>
        <v>21.72</v>
      </c>
      <c r="E7" s="14">
        <f>ROUND(C7 * INDEX(Control_and_Parameters!$C$21:$C$24, MATCH(Price_Book_Master!D7, Control_and_Parameters!$A$21:$A$24, 0)), 2)</f>
        <v>2.38</v>
      </c>
      <c r="F7" s="14">
        <f>ROUND(C7 * INDEX(Control_and_Parameters!$D$21:$D$24, MATCH(Price_Book_Master!D7, Control_and_Parameters!$A$21:$A$24, 0)), 2)</f>
        <v>1.02</v>
      </c>
      <c r="G7" s="14">
        <f>ROUND(C7 * INDEX(Control_and_Parameters!$E$21:$E$24, MATCH(Price_Book_Master!D7, Control_and_Parameters!$A$21:$A$24, 0)), 2)</f>
        <v>0.68</v>
      </c>
      <c r="H7" s="14">
        <f>INDEX(Control_and_Parameters!$I$13:$I$16, MATCH(A7, Control_and_Parameters!$F$13:$F$16, 0))</f>
        <v>1.8</v>
      </c>
      <c r="I7" s="23">
        <f t="shared" si="0"/>
        <v>40.260000000000005</v>
      </c>
      <c r="J7" s="14">
        <f>INDEX(Control_and_Parameters!$H$13:$H$16, MATCH(A7, Control_and_Parameters!$F$13:$F$16, 0))</f>
        <v>14.5</v>
      </c>
      <c r="K7" s="20">
        <f t="shared" si="1"/>
        <v>25.760000000000005</v>
      </c>
      <c r="L7" s="21">
        <f t="shared" si="2"/>
        <v>0.63984103328365627</v>
      </c>
      <c r="M7" s="26" t="str">
        <f t="shared" si="3"/>
        <v>OPTIMAL (&gt;60%)</v>
      </c>
    </row>
    <row r="8" spans="1:13" x14ac:dyDescent="0.3">
      <c r="A8" s="27" t="s">
        <v>27</v>
      </c>
      <c r="B8" s="28" t="s">
        <v>133</v>
      </c>
      <c r="C8" s="38">
        <f>Price_Book_Master!H8</f>
        <v>64</v>
      </c>
      <c r="D8" s="38">
        <f>ROUND(C8 * Price_Book_Master!I8, 2)</f>
        <v>17.920000000000002</v>
      </c>
      <c r="E8" s="38">
        <f>ROUND(C8 * INDEX(Control_and_Parameters!$C$21:$C$24, MATCH(Price_Book_Master!D8, Control_and_Parameters!$A$21:$A$24, 0)), 2)</f>
        <v>1.28</v>
      </c>
      <c r="F8" s="38">
        <f>ROUND(C8 * INDEX(Control_and_Parameters!$D$21:$D$24, MATCH(Price_Book_Master!D8, Control_and_Parameters!$A$21:$A$24, 0)), 2)</f>
        <v>0</v>
      </c>
      <c r="G8" s="38">
        <f>ROUND(C8 * INDEX(Control_and_Parameters!$E$21:$E$24, MATCH(Price_Book_Master!D8, Control_and_Parameters!$A$21:$A$24, 0)), 2)</f>
        <v>0</v>
      </c>
      <c r="H8" s="38">
        <f>INDEX(Control_and_Parameters!$I$13:$I$16, MATCH(A8, Control_and_Parameters!$F$13:$F$16, 0))</f>
        <v>1.8</v>
      </c>
      <c r="I8" s="34">
        <f t="shared" si="0"/>
        <v>43</v>
      </c>
      <c r="J8" s="38">
        <f>INDEX(Control_and_Parameters!$H$13:$H$16, MATCH(A8, Control_and_Parameters!$F$13:$F$16, 0))</f>
        <v>14.5</v>
      </c>
      <c r="K8" s="32">
        <f t="shared" si="1"/>
        <v>28.5</v>
      </c>
      <c r="L8" s="39">
        <f t="shared" si="2"/>
        <v>0.66279069767441856</v>
      </c>
      <c r="M8" s="26" t="str">
        <f t="shared" si="3"/>
        <v>OPTIMAL (&gt;60%)</v>
      </c>
    </row>
    <row r="9" spans="1:13" x14ac:dyDescent="0.3">
      <c r="A9" s="13" t="s">
        <v>27</v>
      </c>
      <c r="B9" s="7" t="s">
        <v>134</v>
      </c>
      <c r="C9" s="14">
        <f>Price_Book_Master!H9</f>
        <v>67.94</v>
      </c>
      <c r="D9" s="14">
        <f>ROUND(C9 * Price_Book_Master!I9, 2)</f>
        <v>16.989999999999998</v>
      </c>
      <c r="E9" s="14">
        <f>ROUND(C9 * INDEX(Control_and_Parameters!$C$21:$C$24, MATCH(Price_Book_Master!D9, Control_and_Parameters!$A$21:$A$24, 0)), 2)</f>
        <v>1.7</v>
      </c>
      <c r="F9" s="14">
        <f>ROUND(C9 * INDEX(Control_and_Parameters!$D$21:$D$24, MATCH(Price_Book_Master!D9, Control_and_Parameters!$A$21:$A$24, 0)), 2)</f>
        <v>0.68</v>
      </c>
      <c r="G9" s="14">
        <f>ROUND(C9 * INDEX(Control_and_Parameters!$E$21:$E$24, MATCH(Price_Book_Master!D9, Control_and_Parameters!$A$21:$A$24, 0)), 2)</f>
        <v>0.68</v>
      </c>
      <c r="H9" s="14">
        <f>INDEX(Control_and_Parameters!$I$13:$I$16, MATCH(A9, Control_and_Parameters!$F$13:$F$16, 0))</f>
        <v>1.8</v>
      </c>
      <c r="I9" s="23">
        <f t="shared" si="0"/>
        <v>46.09</v>
      </c>
      <c r="J9" s="14">
        <f>INDEX(Control_and_Parameters!$H$13:$H$16, MATCH(A9, Control_and_Parameters!$F$13:$F$16, 0))</f>
        <v>14.5</v>
      </c>
      <c r="K9" s="20">
        <f t="shared" si="1"/>
        <v>31.590000000000003</v>
      </c>
      <c r="L9" s="21">
        <f t="shared" si="2"/>
        <v>0.68539813408548489</v>
      </c>
      <c r="M9" s="26" t="str">
        <f t="shared" si="3"/>
        <v>OPTIMAL (&gt;60%)</v>
      </c>
    </row>
    <row r="10" spans="1:13" x14ac:dyDescent="0.3">
      <c r="A10" s="27" t="s">
        <v>27</v>
      </c>
      <c r="B10" s="28" t="s">
        <v>135</v>
      </c>
      <c r="C10" s="38">
        <f>Price_Book_Master!H10</f>
        <v>66</v>
      </c>
      <c r="D10" s="38">
        <f>ROUND(C10 * Price_Book_Master!I10, 2)</f>
        <v>21.12</v>
      </c>
      <c r="E10" s="38">
        <f>ROUND(C10 * INDEX(Control_and_Parameters!$C$21:$C$24, MATCH(Price_Book_Master!D10, Control_and_Parameters!$A$21:$A$24, 0)), 2)</f>
        <v>2.31</v>
      </c>
      <c r="F10" s="38">
        <f>ROUND(C10 * INDEX(Control_and_Parameters!$D$21:$D$24, MATCH(Price_Book_Master!D10, Control_and_Parameters!$A$21:$A$24, 0)), 2)</f>
        <v>0.99</v>
      </c>
      <c r="G10" s="38">
        <f>ROUND(C10 * INDEX(Control_and_Parameters!$E$21:$E$24, MATCH(Price_Book_Master!D10, Control_and_Parameters!$A$21:$A$24, 0)), 2)</f>
        <v>0.66</v>
      </c>
      <c r="H10" s="38">
        <f>INDEX(Control_and_Parameters!$I$13:$I$16, MATCH(A10, Control_and_Parameters!$F$13:$F$16, 0))</f>
        <v>1.8</v>
      </c>
      <c r="I10" s="34">
        <f t="shared" si="0"/>
        <v>39.120000000000005</v>
      </c>
      <c r="J10" s="38">
        <f>INDEX(Control_and_Parameters!$H$13:$H$16, MATCH(A10, Control_and_Parameters!$F$13:$F$16, 0))</f>
        <v>14.5</v>
      </c>
      <c r="K10" s="32">
        <f t="shared" si="1"/>
        <v>24.620000000000005</v>
      </c>
      <c r="L10" s="39">
        <f t="shared" si="2"/>
        <v>0.62934560327198363</v>
      </c>
      <c r="M10" s="26" t="str">
        <f t="shared" si="3"/>
        <v>OPTIMAL (&gt;60%)</v>
      </c>
    </row>
    <row r="11" spans="1:13" x14ac:dyDescent="0.3">
      <c r="A11" s="13" t="s">
        <v>30</v>
      </c>
      <c r="B11" s="7" t="s">
        <v>136</v>
      </c>
      <c r="C11" s="14">
        <f>Price_Book_Master!H11</f>
        <v>145</v>
      </c>
      <c r="D11" s="14">
        <f>ROUND(C11 * Price_Book_Master!I11, 2)</f>
        <v>46.4</v>
      </c>
      <c r="E11" s="14">
        <f>ROUND(C11 * INDEX(Control_and_Parameters!$C$21:$C$24, MATCH(Price_Book_Master!D11, Control_and_Parameters!$A$21:$A$24, 0)), 2)</f>
        <v>5.08</v>
      </c>
      <c r="F11" s="14">
        <f>ROUND(C11 * INDEX(Control_and_Parameters!$D$21:$D$24, MATCH(Price_Book_Master!D11, Control_and_Parameters!$A$21:$A$24, 0)), 2)</f>
        <v>2.1800000000000002</v>
      </c>
      <c r="G11" s="14">
        <f>ROUND(C11 * INDEX(Control_and_Parameters!$E$21:$E$24, MATCH(Price_Book_Master!D11, Control_and_Parameters!$A$21:$A$24, 0)), 2)</f>
        <v>1.45</v>
      </c>
      <c r="H11" s="14">
        <f>INDEX(Control_and_Parameters!$I$13:$I$16, MATCH(A11, Control_and_Parameters!$F$13:$F$16, 0))</f>
        <v>3.5</v>
      </c>
      <c r="I11" s="23">
        <f t="shared" si="0"/>
        <v>86.39</v>
      </c>
      <c r="J11" s="14">
        <f>INDEX(Control_and_Parameters!$H$13:$H$16, MATCH(A11, Control_and_Parameters!$F$13:$F$16, 0))</f>
        <v>28</v>
      </c>
      <c r="K11" s="20">
        <f t="shared" si="1"/>
        <v>58.39</v>
      </c>
      <c r="L11" s="21">
        <f t="shared" si="2"/>
        <v>0.67588841301076519</v>
      </c>
      <c r="M11" s="26" t="str">
        <f t="shared" si="3"/>
        <v>OPTIMAL (&gt;60%)</v>
      </c>
    </row>
    <row r="12" spans="1:13" x14ac:dyDescent="0.3">
      <c r="A12" s="27" t="s">
        <v>30</v>
      </c>
      <c r="B12" s="28" t="s">
        <v>137</v>
      </c>
      <c r="C12" s="38">
        <f>Price_Book_Master!H12</f>
        <v>146.25</v>
      </c>
      <c r="D12" s="38">
        <f>ROUND(C12 * Price_Book_Master!I12, 2)</f>
        <v>0</v>
      </c>
      <c r="E12" s="38">
        <f>ROUND(C12 * INDEX(Control_and_Parameters!$C$21:$C$24, MATCH(Price_Book_Master!D12, Control_and_Parameters!$A$21:$A$24, 0)), 2)</f>
        <v>0</v>
      </c>
      <c r="F12" s="38">
        <f>ROUND(C12 * INDEX(Control_and_Parameters!$D$21:$D$24, MATCH(Price_Book_Master!D12, Control_and_Parameters!$A$21:$A$24, 0)), 2)</f>
        <v>0</v>
      </c>
      <c r="G12" s="38">
        <f>ROUND(C12 * INDEX(Control_and_Parameters!$E$21:$E$24, MATCH(Price_Book_Master!D12, Control_and_Parameters!$A$21:$A$24, 0)), 2)</f>
        <v>2.93</v>
      </c>
      <c r="H12" s="38">
        <f>INDEX(Control_and_Parameters!$I$13:$I$16, MATCH(A12, Control_and_Parameters!$F$13:$F$16, 0))</f>
        <v>3.5</v>
      </c>
      <c r="I12" s="34">
        <f t="shared" si="0"/>
        <v>139.82</v>
      </c>
      <c r="J12" s="38">
        <f>INDEX(Control_and_Parameters!$H$13:$H$16, MATCH(A12, Control_and_Parameters!$F$13:$F$16, 0))</f>
        <v>28</v>
      </c>
      <c r="K12" s="32">
        <f t="shared" si="1"/>
        <v>111.82</v>
      </c>
      <c r="L12" s="39">
        <f t="shared" si="2"/>
        <v>0.79974252610499208</v>
      </c>
      <c r="M12" s="26" t="str">
        <f t="shared" si="3"/>
        <v>OPTIMAL (&gt;60%)</v>
      </c>
    </row>
    <row r="13" spans="1:13" x14ac:dyDescent="0.3">
      <c r="A13" s="13" t="s">
        <v>33</v>
      </c>
      <c r="B13" s="7" t="s">
        <v>138</v>
      </c>
      <c r="C13" s="14">
        <f>Price_Book_Master!H13</f>
        <v>175</v>
      </c>
      <c r="D13" s="14">
        <f>ROUND(C13 * Price_Book_Master!I13, 2)</f>
        <v>56</v>
      </c>
      <c r="E13" s="14">
        <f>ROUND(C13 * INDEX(Control_and_Parameters!$C$21:$C$24, MATCH(Price_Book_Master!D13, Control_and_Parameters!$A$21:$A$24, 0)), 2)</f>
        <v>6.13</v>
      </c>
      <c r="F13" s="14">
        <f>ROUND(C13 * INDEX(Control_and_Parameters!$D$21:$D$24, MATCH(Price_Book_Master!D13, Control_and_Parameters!$A$21:$A$24, 0)), 2)</f>
        <v>2.63</v>
      </c>
      <c r="G13" s="14">
        <f>ROUND(C13 * INDEX(Control_and_Parameters!$E$21:$E$24, MATCH(Price_Book_Master!D13, Control_and_Parameters!$A$21:$A$24, 0)), 2)</f>
        <v>1.75</v>
      </c>
      <c r="H13" s="14">
        <f>INDEX(Control_and_Parameters!$I$13:$I$16, MATCH(A13, Control_and_Parameters!$F$13:$F$16, 0))</f>
        <v>3.8</v>
      </c>
      <c r="I13" s="23">
        <f t="shared" si="0"/>
        <v>104.69</v>
      </c>
      <c r="J13" s="14">
        <f>INDEX(Control_and_Parameters!$H$13:$H$16, MATCH(A13, Control_and_Parameters!$F$13:$F$16, 0))</f>
        <v>38</v>
      </c>
      <c r="K13" s="20">
        <f t="shared" si="1"/>
        <v>66.69</v>
      </c>
      <c r="L13" s="21">
        <f t="shared" si="2"/>
        <v>0.63702359346642468</v>
      </c>
      <c r="M13" s="26" t="str">
        <f t="shared" si="3"/>
        <v>OPTIMAL (&gt;60%)</v>
      </c>
    </row>
    <row r="14" spans="1:13" x14ac:dyDescent="0.3">
      <c r="A14" s="27" t="s">
        <v>36</v>
      </c>
      <c r="B14" s="28" t="s">
        <v>139</v>
      </c>
      <c r="C14" s="38">
        <f>Price_Book_Master!H14</f>
        <v>350</v>
      </c>
      <c r="D14" s="38">
        <f>ROUND(C14 * Price_Book_Master!I14, 2)</f>
        <v>98</v>
      </c>
      <c r="E14" s="38">
        <f>ROUND(C14 * INDEX(Control_and_Parameters!$C$21:$C$24, MATCH(Price_Book_Master!D14, Control_and_Parameters!$A$21:$A$24, 0)), 2)</f>
        <v>7</v>
      </c>
      <c r="F14" s="38">
        <f>ROUND(C14 * INDEX(Control_and_Parameters!$D$21:$D$24, MATCH(Price_Book_Master!D14, Control_and_Parameters!$A$21:$A$24, 0)), 2)</f>
        <v>0</v>
      </c>
      <c r="G14" s="38">
        <f>ROUND(C14 * INDEX(Control_and_Parameters!$E$21:$E$24, MATCH(Price_Book_Master!D14, Control_and_Parameters!$A$21:$A$24, 0)), 2)</f>
        <v>0</v>
      </c>
      <c r="H14" s="38">
        <f>INDEX(Control_and_Parameters!$I$13:$I$16, MATCH(A14, Control_and_Parameters!$F$13:$F$16, 0))</f>
        <v>0</v>
      </c>
      <c r="I14" s="34">
        <f t="shared" si="0"/>
        <v>245</v>
      </c>
      <c r="J14" s="38">
        <f>INDEX(Control_and_Parameters!$H$13:$H$16, MATCH(A14, Control_and_Parameters!$F$13:$F$16, 0))</f>
        <v>25</v>
      </c>
      <c r="K14" s="32">
        <f t="shared" si="1"/>
        <v>220</v>
      </c>
      <c r="L14" s="39">
        <f t="shared" si="2"/>
        <v>0.89795918367346939</v>
      </c>
      <c r="M14" s="26" t="str">
        <f t="shared" si="3"/>
        <v>OPTIMAL (&gt;60%)</v>
      </c>
    </row>
    <row r="15" spans="1:13" x14ac:dyDescent="0.3">
      <c r="A15" s="67" t="s">
        <v>140</v>
      </c>
      <c r="B15" s="59"/>
      <c r="C15" s="40">
        <f t="shared" ref="C15:K15" si="4">AVERAGE(C5:C14)</f>
        <v>122.255</v>
      </c>
      <c r="D15" s="40">
        <f t="shared" si="4"/>
        <v>30.006999999999998</v>
      </c>
      <c r="E15" s="40">
        <f t="shared" si="4"/>
        <v>2.8280000000000003</v>
      </c>
      <c r="F15" s="40">
        <f t="shared" si="4"/>
        <v>0.85300000000000009</v>
      </c>
      <c r="G15" s="40">
        <f t="shared" si="4"/>
        <v>1.028</v>
      </c>
      <c r="H15" s="40">
        <f t="shared" si="4"/>
        <v>2.16</v>
      </c>
      <c r="I15" s="40">
        <f t="shared" si="4"/>
        <v>85.378999999999991</v>
      </c>
      <c r="J15" s="40">
        <f t="shared" si="4"/>
        <v>20.6</v>
      </c>
      <c r="K15" s="40">
        <f t="shared" si="4"/>
        <v>64.778999999999996</v>
      </c>
      <c r="L15" s="41">
        <f t="shared" si="2"/>
        <v>0.75872287096358593</v>
      </c>
      <c r="M15" s="42" t="s">
        <v>141</v>
      </c>
    </row>
  </sheetData>
  <mergeCells count="1">
    <mergeCell ref="A15:B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0"/>
  <sheetViews>
    <sheetView workbookViewId="0"/>
  </sheetViews>
  <sheetFormatPr defaultRowHeight="14.4" x14ac:dyDescent="0.3"/>
  <cols>
    <col min="1" max="1" width="132" customWidth="1"/>
    <col min="2" max="3" width="11" customWidth="1"/>
    <col min="4" max="4" width="60" customWidth="1"/>
    <col min="5" max="9" width="11" customWidth="1"/>
  </cols>
  <sheetData>
    <row r="1" spans="1:9" ht="18" x14ac:dyDescent="0.35">
      <c r="A1" s="1" t="s">
        <v>142</v>
      </c>
    </row>
    <row r="2" spans="1:9" x14ac:dyDescent="0.3">
      <c r="A2" s="2" t="s">
        <v>143</v>
      </c>
    </row>
    <row r="4" spans="1:9" x14ac:dyDescent="0.3">
      <c r="A4" s="68" t="s">
        <v>144</v>
      </c>
      <c r="B4" s="59"/>
      <c r="D4" s="68" t="s">
        <v>145</v>
      </c>
      <c r="E4" s="59"/>
      <c r="F4" s="59"/>
      <c r="G4" s="59"/>
      <c r="H4" s="59"/>
      <c r="I4" s="59"/>
    </row>
    <row r="5" spans="1:9" x14ac:dyDescent="0.3">
      <c r="A5" s="13" t="s">
        <v>146</v>
      </c>
      <c r="B5" s="43">
        <v>750000</v>
      </c>
      <c r="D5" s="44" t="s">
        <v>147</v>
      </c>
      <c r="E5" s="45">
        <v>-0.8</v>
      </c>
      <c r="F5" s="45">
        <v>-1</v>
      </c>
      <c r="G5" s="45">
        <v>-1.25</v>
      </c>
      <c r="H5" s="45">
        <v>-1.5</v>
      </c>
      <c r="I5" s="45">
        <v>-1.8</v>
      </c>
    </row>
    <row r="6" spans="1:9" x14ac:dyDescent="0.3">
      <c r="A6" s="13" t="s">
        <v>148</v>
      </c>
      <c r="B6" s="46">
        <f>Gross_to_Net_Waterfall!I15</f>
        <v>85.378999999999991</v>
      </c>
      <c r="D6" s="47">
        <v>-0.1</v>
      </c>
      <c r="E6" s="14">
        <f t="shared" ref="E6:I10" si="0">($B$5 * (1 + $D6 * E$5) * (($B$6 * (1 + $D6)) - $B$7)) / 1000000</f>
        <v>45.555290999999997</v>
      </c>
      <c r="F6" s="14">
        <f t="shared" si="0"/>
        <v>46.3989075</v>
      </c>
      <c r="G6" s="14">
        <f t="shared" si="0"/>
        <v>47.453428125000002</v>
      </c>
      <c r="H6" s="14">
        <f t="shared" si="0"/>
        <v>48.50794874999999</v>
      </c>
      <c r="I6" s="14">
        <f t="shared" si="0"/>
        <v>49.773373499999998</v>
      </c>
    </row>
    <row r="7" spans="1:9" x14ac:dyDescent="0.3">
      <c r="A7" s="13" t="s">
        <v>149</v>
      </c>
      <c r="B7" s="46">
        <f>Gross_to_Net_Waterfall!J15</f>
        <v>20.6</v>
      </c>
      <c r="D7" s="47">
        <v>-0.05</v>
      </c>
      <c r="E7" s="14">
        <f t="shared" si="0"/>
        <v>47.197838999999988</v>
      </c>
      <c r="F7" s="14">
        <f t="shared" si="0"/>
        <v>47.651664374999989</v>
      </c>
      <c r="G7" s="14">
        <f t="shared" si="0"/>
        <v>48.218946093749985</v>
      </c>
      <c r="H7" s="14">
        <f t="shared" si="0"/>
        <v>48.786227812499988</v>
      </c>
      <c r="I7" s="14">
        <f t="shared" si="0"/>
        <v>49.466965874999993</v>
      </c>
    </row>
    <row r="8" spans="1:9" x14ac:dyDescent="0.3">
      <c r="A8" s="13" t="s">
        <v>150</v>
      </c>
      <c r="B8" s="46">
        <f>B6 - B7</f>
        <v>64.778999999999996</v>
      </c>
      <c r="D8" s="47">
        <v>0</v>
      </c>
      <c r="E8" s="14">
        <f t="shared" si="0"/>
        <v>48.584249999999997</v>
      </c>
      <c r="F8" s="14">
        <f t="shared" si="0"/>
        <v>48.584249999999997</v>
      </c>
      <c r="G8" s="48">
        <f t="shared" si="0"/>
        <v>48.584249999999997</v>
      </c>
      <c r="H8" s="14">
        <f t="shared" si="0"/>
        <v>48.584249999999997</v>
      </c>
      <c r="I8" s="14">
        <f t="shared" si="0"/>
        <v>48.584249999999997</v>
      </c>
    </row>
    <row r="9" spans="1:9" x14ac:dyDescent="0.3">
      <c r="A9" s="13" t="s">
        <v>151</v>
      </c>
      <c r="B9" s="49">
        <f>(B5 * B8) / 1000000</f>
        <v>48.584249999999997</v>
      </c>
      <c r="D9" s="47">
        <v>0.05</v>
      </c>
      <c r="E9" s="14">
        <f t="shared" si="0"/>
        <v>49.71452399999999</v>
      </c>
      <c r="F9" s="14">
        <f t="shared" si="0"/>
        <v>49.19666437499999</v>
      </c>
      <c r="G9" s="14">
        <f t="shared" si="0"/>
        <v>48.549339843749991</v>
      </c>
      <c r="H9" s="14">
        <f t="shared" si="0"/>
        <v>47.902015312499991</v>
      </c>
      <c r="I9" s="14">
        <f t="shared" si="0"/>
        <v>47.125225874999991</v>
      </c>
    </row>
    <row r="10" spans="1:9" x14ac:dyDescent="0.3">
      <c r="D10" s="47">
        <v>0.1</v>
      </c>
      <c r="E10" s="14">
        <f t="shared" si="0"/>
        <v>50.588661000000002</v>
      </c>
      <c r="F10" s="14">
        <f t="shared" si="0"/>
        <v>49.488907500000003</v>
      </c>
      <c r="G10" s="14">
        <f t="shared" si="0"/>
        <v>48.114215625</v>
      </c>
      <c r="H10" s="14">
        <f t="shared" si="0"/>
        <v>46.739523749999996</v>
      </c>
      <c r="I10" s="14">
        <f t="shared" si="0"/>
        <v>45.089893500000002</v>
      </c>
    </row>
  </sheetData>
  <mergeCells count="2">
    <mergeCell ref="A4:B4"/>
    <mergeCell ref="D4:I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9"/>
  <sheetViews>
    <sheetView workbookViewId="0"/>
  </sheetViews>
  <sheetFormatPr defaultRowHeight="14.4" x14ac:dyDescent="0.3"/>
  <cols>
    <col min="1" max="1" width="34" customWidth="1"/>
    <col min="2" max="2" width="44" customWidth="1"/>
    <col min="3" max="3" width="22" customWidth="1"/>
    <col min="4" max="4" width="27" customWidth="1"/>
    <col min="5" max="5" width="30" customWidth="1"/>
    <col min="6" max="6" width="29" customWidth="1"/>
    <col min="7" max="7" width="24" customWidth="1"/>
    <col min="8" max="8" width="20" customWidth="1"/>
    <col min="9" max="9" width="25" customWidth="1"/>
    <col min="10" max="10" width="28" customWidth="1"/>
  </cols>
  <sheetData>
    <row r="1" spans="1:10" ht="18" x14ac:dyDescent="0.35">
      <c r="A1" s="1" t="s">
        <v>152</v>
      </c>
    </row>
    <row r="2" spans="1:10" x14ac:dyDescent="0.3">
      <c r="A2" s="2" t="s">
        <v>153</v>
      </c>
    </row>
    <row r="4" spans="1:10" x14ac:dyDescent="0.3">
      <c r="A4" s="68" t="s">
        <v>154</v>
      </c>
      <c r="B4" s="59"/>
    </row>
    <row r="5" spans="1:10" x14ac:dyDescent="0.3">
      <c r="A5" s="13" t="s">
        <v>155</v>
      </c>
      <c r="B5" s="50">
        <f>COUNTA(A12:A19)</f>
        <v>8</v>
      </c>
    </row>
    <row r="6" spans="1:10" x14ac:dyDescent="0.3">
      <c r="A6" s="13" t="s">
        <v>156</v>
      </c>
      <c r="B6" s="50">
        <f>COUNTIF(I12:I19, "Production Deployed")</f>
        <v>8</v>
      </c>
    </row>
    <row r="7" spans="1:10" x14ac:dyDescent="0.3">
      <c r="A7" s="13" t="s">
        <v>157</v>
      </c>
      <c r="B7" s="51">
        <f>COUNTIF(I12:I19, "Production Deployed")/COUNTA(A12:A19)</f>
        <v>1</v>
      </c>
    </row>
    <row r="8" spans="1:10" x14ac:dyDescent="0.3">
      <c r="A8" s="13" t="s">
        <v>158</v>
      </c>
      <c r="B8" s="51">
        <f>COUNTIF(F12:F19, "*Approved*")/COUNTA(A12:A19)</f>
        <v>1</v>
      </c>
    </row>
    <row r="9" spans="1:10" x14ac:dyDescent="0.3">
      <c r="A9" s="13" t="s">
        <v>159</v>
      </c>
      <c r="B9" s="51">
        <f>COUNTIF(G12:G19, "*Approved*")/COUNTA(A12:A19)</f>
        <v>1</v>
      </c>
    </row>
    <row r="11" spans="1:10" x14ac:dyDescent="0.3">
      <c r="A11" s="3" t="s">
        <v>84</v>
      </c>
      <c r="B11" s="19" t="s">
        <v>160</v>
      </c>
      <c r="C11" s="3" t="s">
        <v>161</v>
      </c>
      <c r="D11" s="3" t="s">
        <v>162</v>
      </c>
      <c r="E11" s="19" t="s">
        <v>163</v>
      </c>
      <c r="F11" s="3" t="s">
        <v>164</v>
      </c>
      <c r="G11" s="3" t="s">
        <v>165</v>
      </c>
      <c r="H11" s="3" t="s">
        <v>166</v>
      </c>
      <c r="I11" s="3" t="s">
        <v>167</v>
      </c>
      <c r="J11" s="3" t="s">
        <v>168</v>
      </c>
    </row>
    <row r="12" spans="1:10" x14ac:dyDescent="0.3">
      <c r="A12" s="52" t="s">
        <v>90</v>
      </c>
      <c r="B12" s="28" t="s">
        <v>169</v>
      </c>
      <c r="C12" s="52" t="s">
        <v>88</v>
      </c>
      <c r="D12" s="52" t="s">
        <v>170</v>
      </c>
      <c r="E12" s="28" t="s">
        <v>171</v>
      </c>
      <c r="F12" s="53" t="s">
        <v>172</v>
      </c>
      <c r="G12" s="53" t="s">
        <v>173</v>
      </c>
      <c r="H12" s="52" t="s">
        <v>174</v>
      </c>
      <c r="I12" s="26" t="s">
        <v>175</v>
      </c>
      <c r="J12" s="54" t="s">
        <v>176</v>
      </c>
    </row>
    <row r="13" spans="1:10" x14ac:dyDescent="0.3">
      <c r="A13" s="55" t="s">
        <v>95</v>
      </c>
      <c r="B13" s="7" t="s">
        <v>177</v>
      </c>
      <c r="C13" s="55" t="s">
        <v>93</v>
      </c>
      <c r="D13" s="55" t="s">
        <v>178</v>
      </c>
      <c r="E13" s="7" t="s">
        <v>179</v>
      </c>
      <c r="F13" s="56" t="s">
        <v>180</v>
      </c>
      <c r="G13" s="56" t="s">
        <v>181</v>
      </c>
      <c r="H13" s="55" t="s">
        <v>174</v>
      </c>
      <c r="I13" s="26" t="s">
        <v>175</v>
      </c>
      <c r="J13" s="57" t="s">
        <v>182</v>
      </c>
    </row>
    <row r="14" spans="1:10" x14ac:dyDescent="0.3">
      <c r="A14" s="52" t="s">
        <v>98</v>
      </c>
      <c r="B14" s="28" t="s">
        <v>183</v>
      </c>
      <c r="C14" s="52" t="s">
        <v>96</v>
      </c>
      <c r="D14" s="52" t="s">
        <v>184</v>
      </c>
      <c r="E14" s="28" t="s">
        <v>185</v>
      </c>
      <c r="F14" s="53" t="s">
        <v>186</v>
      </c>
      <c r="G14" s="53" t="s">
        <v>187</v>
      </c>
      <c r="H14" s="52" t="s">
        <v>188</v>
      </c>
      <c r="I14" s="26" t="s">
        <v>175</v>
      </c>
      <c r="J14" s="54" t="s">
        <v>189</v>
      </c>
    </row>
    <row r="15" spans="1:10" x14ac:dyDescent="0.3">
      <c r="A15" s="55" t="s">
        <v>101</v>
      </c>
      <c r="B15" s="7" t="s">
        <v>190</v>
      </c>
      <c r="C15" s="55" t="s">
        <v>99</v>
      </c>
      <c r="D15" s="55" t="s">
        <v>191</v>
      </c>
      <c r="E15" s="7" t="s">
        <v>192</v>
      </c>
      <c r="F15" s="56" t="s">
        <v>193</v>
      </c>
      <c r="G15" s="56" t="s">
        <v>194</v>
      </c>
      <c r="H15" s="55" t="s">
        <v>188</v>
      </c>
      <c r="I15" s="26" t="s">
        <v>175</v>
      </c>
      <c r="J15" s="57" t="s">
        <v>195</v>
      </c>
    </row>
    <row r="16" spans="1:10" x14ac:dyDescent="0.3">
      <c r="A16" s="52" t="s">
        <v>104</v>
      </c>
      <c r="B16" s="28" t="s">
        <v>196</v>
      </c>
      <c r="C16" s="52" t="s">
        <v>102</v>
      </c>
      <c r="D16" s="52" t="s">
        <v>197</v>
      </c>
      <c r="E16" s="28" t="s">
        <v>198</v>
      </c>
      <c r="F16" s="53" t="s">
        <v>199</v>
      </c>
      <c r="G16" s="53" t="s">
        <v>200</v>
      </c>
      <c r="H16" s="52" t="s">
        <v>201</v>
      </c>
      <c r="I16" s="26" t="s">
        <v>175</v>
      </c>
      <c r="J16" s="54" t="s">
        <v>202</v>
      </c>
    </row>
    <row r="17" spans="1:10" x14ac:dyDescent="0.3">
      <c r="A17" s="55" t="s">
        <v>107</v>
      </c>
      <c r="B17" s="7" t="s">
        <v>203</v>
      </c>
      <c r="C17" s="55" t="s">
        <v>204</v>
      </c>
      <c r="D17" s="55" t="s">
        <v>205</v>
      </c>
      <c r="E17" s="7" t="s">
        <v>206</v>
      </c>
      <c r="F17" s="56" t="s">
        <v>207</v>
      </c>
      <c r="G17" s="56" t="s">
        <v>208</v>
      </c>
      <c r="H17" s="55" t="s">
        <v>201</v>
      </c>
      <c r="I17" s="26" t="s">
        <v>175</v>
      </c>
      <c r="J17" s="57" t="s">
        <v>209</v>
      </c>
    </row>
    <row r="18" spans="1:10" x14ac:dyDescent="0.3">
      <c r="A18" s="52" t="s">
        <v>111</v>
      </c>
      <c r="B18" s="28" t="s">
        <v>210</v>
      </c>
      <c r="C18" s="52" t="s">
        <v>96</v>
      </c>
      <c r="D18" s="52" t="s">
        <v>211</v>
      </c>
      <c r="E18" s="28" t="s">
        <v>212</v>
      </c>
      <c r="F18" s="53" t="s">
        <v>213</v>
      </c>
      <c r="G18" s="53" t="s">
        <v>214</v>
      </c>
      <c r="H18" s="52" t="s">
        <v>215</v>
      </c>
      <c r="I18" s="26" t="s">
        <v>175</v>
      </c>
      <c r="J18" s="54" t="s">
        <v>216</v>
      </c>
    </row>
    <row r="19" spans="1:10" x14ac:dyDescent="0.3">
      <c r="A19" s="55" t="s">
        <v>115</v>
      </c>
      <c r="B19" s="7" t="s">
        <v>217</v>
      </c>
      <c r="C19" s="55" t="s">
        <v>113</v>
      </c>
      <c r="D19" s="55" t="s">
        <v>218</v>
      </c>
      <c r="E19" s="7" t="s">
        <v>219</v>
      </c>
      <c r="F19" s="56" t="s">
        <v>220</v>
      </c>
      <c r="G19" s="56" t="s">
        <v>221</v>
      </c>
      <c r="H19" s="55" t="s">
        <v>215</v>
      </c>
      <c r="I19" s="26" t="s">
        <v>175</v>
      </c>
      <c r="J19" s="57" t="s">
        <v>222</v>
      </c>
    </row>
  </sheetData>
  <mergeCells count="1">
    <mergeCell ref="A4:B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Control_and_Parameters</vt:lpstr>
      <vt:lpstr>Executive_Summary</vt:lpstr>
      <vt:lpstr>Price_Book_Master</vt:lpstr>
      <vt:lpstr>Gross_to_Net_Waterfall</vt:lpstr>
      <vt:lpstr>Sensitivity_and_Elasticity</vt:lpstr>
      <vt:lpstr>Governance_and_Audit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Debbrata Kumar Adhikary</cp:lastModifiedBy>
  <dcterms:created xsi:type="dcterms:W3CDTF">2026-10-23T11:21:51Z</dcterms:created>
  <dcterms:modified xsi:type="dcterms:W3CDTF">2026-10-23T11:21:52Z</dcterms:modified>
</cp:coreProperties>
</file>