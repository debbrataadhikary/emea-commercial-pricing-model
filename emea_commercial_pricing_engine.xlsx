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Price_Book_Master" sheetId="2" state="visible" r:id="rId2"/>
    <sheet xmlns:r="http://schemas.openxmlformats.org/officeDocument/2006/relationships" name="Gross_to_Net_Waterfall" sheetId="3" state="visible" r:id="rId3"/>
    <sheet xmlns:r="http://schemas.openxmlformats.org/officeDocument/2006/relationships" name="Sensitivity_and_Elasticity" sheetId="4" state="visible" r:id="rId4"/>
    <sheet xmlns:r="http://schemas.openxmlformats.org/officeDocument/2006/relationships" name="Jira_SFDC_Change_Gover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€#,##0.00"/>
    <numFmt numFmtId="165" formatCode="0.0%"/>
    <numFmt numFmtId="166" formatCode="0.000"/>
    <numFmt numFmtId="167" formatCode="+0.0%;-0.0%;0.0%"/>
  </numFmts>
  <fonts count="23">
    <font>
      <name val="Calibri"/>
      <family val="2"/>
      <color theme="1"/>
      <sz val="11"/>
      <scheme val="minor"/>
    </font>
    <font>
      <name val="Calibri"/>
      <b val="1"/>
      <color rgb="000E3A5D"/>
      <sz val="15"/>
    </font>
    <font>
      <name val="Calibri"/>
      <i val="1"/>
      <color rgb="00555E6B"/>
      <sz val="10"/>
    </font>
    <font>
      <name val="Calibri"/>
      <b val="1"/>
      <color rgb="000E3A5D"/>
      <sz val="11"/>
    </font>
    <font>
      <name val="Calibri"/>
      <b val="1"/>
      <color rgb="001B657A"/>
      <sz val="9.5"/>
    </font>
    <font>
      <name val="Calibri"/>
      <sz val="9.5"/>
    </font>
    <font>
      <name val="Calibri"/>
      <b val="1"/>
      <color rgb="00555E6B"/>
      <sz val="8.5"/>
    </font>
    <font>
      <name val="Calibri"/>
      <b val="1"/>
      <color rgb="000E3A5D"/>
      <sz val="14"/>
    </font>
    <font>
      <name val="Calibri"/>
      <i val="1"/>
      <color rgb="0064748B"/>
      <sz val="8"/>
    </font>
    <font>
      <name val="Calibri"/>
      <b val="1"/>
      <color rgb="00FFFFFF"/>
      <sz val="9.5"/>
    </font>
    <font>
      <name val="Calibri"/>
      <sz val="9"/>
    </font>
    <font>
      <name val="Calibri"/>
      <i val="1"/>
      <color rgb="00555E6B"/>
      <sz val="9.5"/>
    </font>
    <font>
      <name val="Calibri"/>
      <b val="1"/>
      <color rgb="00FFFFFF"/>
      <sz val="9"/>
    </font>
    <font>
      <name val="Calibri"/>
      <b val="1"/>
      <color rgb="00166534"/>
      <sz val="9"/>
    </font>
    <font>
      <name val="Calibri"/>
      <b val="1"/>
      <sz val="9"/>
    </font>
    <font>
      <name val="Calibri"/>
      <b val="1"/>
      <color rgb="000E3A5D"/>
      <sz val="9.5"/>
    </font>
    <font>
      <name val="Calibri"/>
      <b val="1"/>
      <color rgb="00166534"/>
      <sz val="9.5"/>
    </font>
    <font>
      <name val="Calibri"/>
      <b val="1"/>
      <color rgb="000E3A5D"/>
      <sz val="10"/>
    </font>
    <font>
      <name val="Calibri"/>
      <b val="1"/>
      <color rgb="00FFFFFF"/>
      <sz val="8.5"/>
    </font>
    <font>
      <name val="Calibri"/>
      <b val="1"/>
      <color rgb="000E3A5D"/>
      <sz val="8.5"/>
    </font>
    <font>
      <name val="Calibri"/>
      <color rgb="00166534"/>
      <sz val="8.5"/>
    </font>
    <font>
      <name val="Calibri"/>
      <b val="1"/>
      <color rgb="00166534"/>
      <sz val="8.5"/>
    </font>
    <font>
      <name val="Calibri"/>
      <i val="1"/>
      <sz val="8.5"/>
    </font>
  </fonts>
  <fills count="6">
    <fill>
      <patternFill/>
    </fill>
    <fill>
      <patternFill patternType="gray125"/>
    </fill>
    <fill>
      <patternFill patternType="solid">
        <fgColor rgb="00EBF3F8"/>
        <bgColor rgb="00EBF3F8"/>
      </patternFill>
    </fill>
    <fill>
      <patternFill patternType="solid">
        <fgColor rgb="000E3A5D"/>
        <bgColor rgb="000E3A5D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CBD5E1"/>
      </top>
      <bottom style="double">
        <color rgb="000E3A5D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center"/>
    </xf>
    <xf numFmtId="165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3" borderId="0" applyAlignment="1" pivotButton="0" quotePrefix="0" xfId="0">
      <alignment horizontal="left"/>
    </xf>
    <xf numFmtId="0" fontId="9" fillId="3" borderId="0" applyAlignment="1" pivotButton="0" quotePrefix="0" xfId="0">
      <alignment horizontal="center"/>
    </xf>
    <xf numFmtId="0" fontId="10" fillId="0" borderId="1" pivotButton="0" quotePrefix="0" xfId="0"/>
    <xf numFmtId="165" fontId="10" fillId="0" borderId="1" applyAlignment="1" pivotButton="0" quotePrefix="0" xfId="0">
      <alignment horizontal="right"/>
    </xf>
    <xf numFmtId="2" fontId="10" fillId="0" borderId="1" applyAlignment="1" pivotButton="0" quotePrefix="0" xfId="0">
      <alignment horizontal="right"/>
    </xf>
    <xf numFmtId="164" fontId="10" fillId="0" borderId="1" applyAlignment="1" pivotButton="0" quotePrefix="0" xfId="0">
      <alignment horizontal="right"/>
    </xf>
    <xf numFmtId="0" fontId="7" fillId="0" borderId="0" pivotButton="0" quotePrefix="0" xfId="0"/>
    <xf numFmtId="0" fontId="11" fillId="0" borderId="0" pivotButton="0" quotePrefix="0" xfId="0"/>
    <xf numFmtId="0" fontId="12" fillId="3" borderId="0" applyAlignment="1" pivotButton="0" quotePrefix="0" xfId="0">
      <alignment horizontal="center"/>
    </xf>
    <xf numFmtId="0" fontId="12" fillId="3" borderId="0" applyAlignment="1" pivotButton="0" quotePrefix="0" xfId="0">
      <alignment horizontal="left"/>
    </xf>
    <xf numFmtId="0" fontId="10" fillId="0" borderId="1" applyAlignment="1" pivotButton="0" quotePrefix="0" xfId="0">
      <alignment horizontal="center"/>
    </xf>
    <xf numFmtId="166" fontId="10" fillId="0" borderId="1" applyAlignment="1" pivotButton="0" quotePrefix="0" xfId="0">
      <alignment horizontal="right"/>
    </xf>
    <xf numFmtId="0" fontId="13" fillId="4" borderId="1" applyAlignment="1" pivotButton="0" quotePrefix="0" xfId="0">
      <alignment horizontal="center"/>
    </xf>
    <xf numFmtId="0" fontId="10" fillId="5" borderId="1" applyAlignment="1" pivotButton="0" quotePrefix="0" xfId="0">
      <alignment horizontal="center"/>
    </xf>
    <xf numFmtId="0" fontId="10" fillId="5" borderId="1" pivotButton="0" quotePrefix="0" xfId="0"/>
    <xf numFmtId="164" fontId="10" fillId="5" borderId="1" applyAlignment="1" pivotButton="0" quotePrefix="0" xfId="0">
      <alignment horizontal="right"/>
    </xf>
    <xf numFmtId="166" fontId="10" fillId="5" borderId="1" applyAlignment="1" pivotButton="0" quotePrefix="0" xfId="0">
      <alignment horizontal="right"/>
    </xf>
    <xf numFmtId="165" fontId="10" fillId="5" borderId="1" applyAlignment="1" pivotButton="0" quotePrefix="0" xfId="0">
      <alignment horizontal="right"/>
    </xf>
    <xf numFmtId="0" fontId="12" fillId="3" borderId="0" applyAlignment="1" pivotButton="0" quotePrefix="0" xfId="0">
      <alignment horizontal="right"/>
    </xf>
    <xf numFmtId="165" fontId="14" fillId="0" borderId="1" applyAlignment="1" pivotButton="0" quotePrefix="0" xfId="0">
      <alignment horizontal="right"/>
    </xf>
    <xf numFmtId="165" fontId="14" fillId="5" borderId="1" applyAlignment="1" pivotButton="0" quotePrefix="0" xfId="0">
      <alignment horizontal="right"/>
    </xf>
    <xf numFmtId="0" fontId="15" fillId="2" borderId="0" pivotButton="0" quotePrefix="0" xfId="0"/>
    <xf numFmtId="164" fontId="15" fillId="2" borderId="2" pivotButton="0" quotePrefix="0" xfId="0"/>
    <xf numFmtId="165" fontId="15" fillId="2" borderId="2" pivotButton="0" quotePrefix="0" xfId="0"/>
    <xf numFmtId="0" fontId="16" fillId="4" borderId="2" applyAlignment="1" pivotButton="0" quotePrefix="0" xfId="0">
      <alignment horizontal="center"/>
    </xf>
    <xf numFmtId="0" fontId="17" fillId="2" borderId="0" pivotButton="0" quotePrefix="0" xfId="0"/>
    <xf numFmtId="0" fontId="14" fillId="0" borderId="1" pivotButton="0" quotePrefix="0" xfId="0"/>
    <xf numFmtId="3" fontId="10" fillId="0" borderId="1" pivotButton="0" quotePrefix="0" xfId="0"/>
    <xf numFmtId="0" fontId="18" fillId="3" borderId="0" applyAlignment="1" pivotButton="0" quotePrefix="0" xfId="0">
      <alignment horizontal="center"/>
    </xf>
    <xf numFmtId="2" fontId="18" fillId="3" borderId="0" applyAlignment="1" pivotButton="0" quotePrefix="0" xfId="0">
      <alignment horizontal="center"/>
    </xf>
    <xf numFmtId="164" fontId="10" fillId="0" borderId="1" pivotButton="0" quotePrefix="0" xfId="0"/>
    <xf numFmtId="167" fontId="19" fillId="2" borderId="0" applyAlignment="1" pivotButton="0" quotePrefix="0" xfId="0">
      <alignment horizontal="center"/>
    </xf>
    <xf numFmtId="164" fontId="13" fillId="4" borderId="1" applyAlignment="1" pivotButton="0" quotePrefix="0" xfId="0">
      <alignment horizontal="right"/>
    </xf>
    <xf numFmtId="164" fontId="15" fillId="0" borderId="1" pivotButton="0" quotePrefix="0" xfId="0"/>
    <xf numFmtId="0" fontId="20" fillId="0" borderId="1" applyAlignment="1" pivotButton="0" quotePrefix="0" xfId="0">
      <alignment horizontal="center"/>
    </xf>
    <xf numFmtId="0" fontId="21" fillId="4" borderId="1" applyAlignment="1" pivotButton="0" quotePrefix="0" xfId="0">
      <alignment horizontal="center"/>
    </xf>
    <xf numFmtId="0" fontId="22" fillId="0" borderId="1" applyAlignment="1" pivotButton="0" quotePrefix="0" xfId="0">
      <alignment horizontal="left"/>
    </xf>
    <xf numFmtId="0" fontId="20" fillId="5" borderId="1" applyAlignment="1" pivotButton="0" quotePrefix="0" xfId="0">
      <alignment horizontal="center"/>
    </xf>
    <xf numFmtId="0" fontId="22" fillId="5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52" customWidth="1" min="2" max="2"/>
    <col width="14" customWidth="1" min="3" max="3"/>
    <col width="49" customWidth="1" min="4" max="4"/>
    <col width="27" customWidth="1" min="5" max="5"/>
    <col width="30" customWidth="1" min="6" max="6"/>
    <col width="26" customWidth="1" min="7" max="7"/>
  </cols>
  <sheetData>
    <row r="1">
      <c r="A1" s="1" t="inlineStr">
        <is>
          <t>DEXCOM EMEA COMMERCIAL PRICING &amp; MARGIN ANALYTICS ENGINE</t>
        </is>
      </c>
    </row>
    <row r="2">
      <c r="A2" s="2" t="inlineStr">
        <is>
          <t>Executive Decision Model: Salesforce Price Book Synchronization, Gross-to-Net Optimization &amp; Multi-Market Parity</t>
        </is>
      </c>
    </row>
    <row r="3"/>
    <row r="4">
      <c r="A4" s="3" t="inlineStr">
        <is>
          <t>Model Governance &amp; Versioning</t>
        </is>
      </c>
      <c r="D4" s="3" t="inlineStr">
        <is>
          <t>EMEA COMMERCIAL PRICING SCORECARD (ANNUALIZED)</t>
        </is>
      </c>
    </row>
    <row r="5">
      <c r="A5" s="4" t="inlineStr">
        <is>
          <t>Lead Analyst:</t>
        </is>
      </c>
      <c r="B5" s="5" t="inlineStr">
        <is>
          <t>Debbrata Kumar Adhikary (Vilnius Commercial Analytics)</t>
        </is>
      </c>
      <c r="D5" s="6" t="inlineStr">
        <is>
          <t>Blended Net Realized ASP</t>
        </is>
      </c>
      <c r="E5" s="6" t="inlineStr">
        <is>
          <t>Gross-to-Net Realization</t>
        </is>
      </c>
      <c r="F5" s="6" t="inlineStr">
        <is>
          <t>Blended Contribution Margin</t>
        </is>
      </c>
      <c r="G5" s="6" t="inlineStr">
        <is>
          <t>Jira IT Sync Compliance</t>
        </is>
      </c>
    </row>
    <row r="6">
      <c r="A6" s="4" t="inlineStr">
        <is>
          <t>Target Entity:</t>
        </is>
      </c>
      <c r="B6" s="5" t="inlineStr">
        <is>
          <t>Dexcom EMEA Commercial Distribution &amp; Direct-to-Consumer</t>
        </is>
      </c>
      <c r="D6" s="7">
        <f>AVERAGE(Gross_to_Net_Waterfall!I5:I14)</f>
        <v/>
      </c>
      <c r="E6" s="8">
        <f>(AVERAGE(Gross_to_Net_Waterfall!I5:I14)/AVERAGE(Gross_to_Net_Waterfall!C5:C14))</f>
        <v/>
      </c>
      <c r="F6" s="8">
        <f>AVERAGE(Gross_to_Net_Waterfall!L5:L14)</f>
        <v/>
      </c>
      <c r="G6" s="8" t="inlineStr">
        <is>
          <t>100.0%</t>
        </is>
      </c>
    </row>
    <row r="7">
      <c r="A7" s="4" t="inlineStr">
        <is>
          <t>Primary Systems:</t>
        </is>
      </c>
      <c r="B7" s="5" t="inlineStr">
        <is>
          <t>Salesforce SFDC CPQ, Jira Agile, SAP/NetSuite ERP</t>
        </is>
      </c>
      <c r="D7" s="9" t="inlineStr">
        <is>
          <t>Weighted Net Price</t>
        </is>
      </c>
      <c r="E7" s="9" t="inlineStr">
        <is>
          <t>Margin Retention Rate</t>
        </is>
      </c>
      <c r="F7" s="9" t="inlineStr">
        <is>
          <t>Post-COGS Net Margin</t>
        </is>
      </c>
      <c r="G7" s="9" t="inlineStr">
        <is>
          <t>Active SFDC Deployment</t>
        </is>
      </c>
    </row>
    <row r="8">
      <c r="A8" s="4" t="inlineStr">
        <is>
          <t>Currencies Modeled:</t>
        </is>
      </c>
      <c r="B8" s="5" t="inlineStr">
        <is>
          <t>EUR (Base), GBP (1.17 EUR), SEK (0.086 EUR), DKK (0.134 EUR)</t>
        </is>
      </c>
    </row>
    <row r="9">
      <c r="A9" s="4" t="inlineStr">
        <is>
          <t>Model Status:</t>
        </is>
      </c>
      <c r="B9" s="5" t="inlineStr">
        <is>
          <t>Active Production (Synced with SFDC Price Book Q4 release)</t>
        </is>
      </c>
    </row>
    <row r="10"/>
    <row r="11"/>
    <row r="12">
      <c r="A12" s="3" t="inlineStr">
        <is>
          <t>EXECUTIVE SCENARIO ANALYSIS (MACRO PRICING DECISION SIMULATION)</t>
        </is>
      </c>
    </row>
    <row r="13">
      <c r="A13" s="10" t="inlineStr">
        <is>
          <t>Scenario Name</t>
        </is>
      </c>
      <c r="B13" s="10" t="inlineStr">
        <is>
          <t>Strategic Rationale</t>
        </is>
      </c>
      <c r="C13" s="11" t="inlineStr">
        <is>
          <t>Price Adj %</t>
        </is>
      </c>
      <c r="D13" s="11" t="inlineStr">
        <is>
          <t>Volume Elasticity</t>
        </is>
      </c>
      <c r="E13" s="11" t="inlineStr">
        <is>
          <t>EMEA Revenue (€M)</t>
        </is>
      </c>
      <c r="F13" s="11" t="inlineStr">
        <is>
          <t>Gross Profit (€M)</t>
        </is>
      </c>
      <c r="G13" s="11" t="inlineStr">
        <is>
          <t>Net Margin %</t>
        </is>
      </c>
    </row>
    <row r="14">
      <c r="A14" s="12" t="inlineStr">
        <is>
          <t>Base Case (Q4 Approved)</t>
        </is>
      </c>
      <c r="B14" s="12" t="inlineStr">
        <is>
          <t>Current SFDC Price Book catalog across EMEA channels</t>
        </is>
      </c>
      <c r="C14" s="13" t="n">
        <v>0</v>
      </c>
      <c r="D14" s="14" t="n">
        <v>-1.35</v>
      </c>
      <c r="E14" s="15" t="n">
        <v>48.5</v>
      </c>
      <c r="F14" s="15" t="n">
        <v>31.52</v>
      </c>
      <c r="G14" s="13" t="n">
        <v>0.65</v>
      </c>
    </row>
    <row r="15">
      <c r="A15" s="12" t="inlineStr">
        <is>
          <t>Scenario 1: Inflationary Indexation</t>
        </is>
      </c>
      <c r="B15" s="12" t="inlineStr">
        <is>
          <t>Pass-through of 4.5% CPI across D2C + 3.0% on Distributors</t>
        </is>
      </c>
      <c r="C15" s="13" t="n">
        <v>0.038</v>
      </c>
      <c r="D15" s="14" t="n">
        <v>-1.35</v>
      </c>
      <c r="E15" s="15" t="n">
        <v>50.12</v>
      </c>
      <c r="F15" s="15" t="n">
        <v>33.08</v>
      </c>
      <c r="G15" s="13" t="n">
        <v>0.66</v>
      </c>
    </row>
    <row r="16">
      <c r="A16" s="12" t="inlineStr">
        <is>
          <t>Scenario 2: Tier-1 Volume Concession</t>
        </is>
      </c>
      <c r="B16" s="12" t="inlineStr">
        <is>
          <t>Grant additional 3.5% discount for Tier-1 distributors pledging +15% volume</t>
        </is>
      </c>
      <c r="C16" s="13" t="n">
        <v>-0.035</v>
      </c>
      <c r="D16" s="14" t="n">
        <v>-1.55</v>
      </c>
      <c r="E16" s="15" t="n">
        <v>52.4</v>
      </c>
      <c r="F16" s="15" t="n">
        <v>32.8</v>
      </c>
      <c r="G16" s="13" t="n">
        <v>0.626</v>
      </c>
    </row>
    <row r="17">
      <c r="A17" s="12" t="inlineStr">
        <is>
          <t>Scenario 3: Nordics FX Defense</t>
        </is>
      </c>
      <c r="B17" s="12" t="inlineStr">
        <is>
          <t>Hedge SEK/DKK depreciation with +6% local list price adjustment</t>
        </is>
      </c>
      <c r="C17" s="13" t="n">
        <v>0.06</v>
      </c>
      <c r="D17" s="14" t="n">
        <v>-1.1</v>
      </c>
      <c r="E17" s="15" t="n">
        <v>49.3</v>
      </c>
      <c r="F17" s="15" t="n">
        <v>32.4</v>
      </c>
      <c r="G17" s="13" t="n">
        <v>0.657</v>
      </c>
    </row>
  </sheetData>
  <mergeCells count="3">
    <mergeCell ref="A4:B4"/>
    <mergeCell ref="A12:G12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1" workbookViewId="0">
      <selection activeCell="A1" sqref="A1"/>
    </sheetView>
  </sheetViews>
  <sheetFormatPr baseColWidth="8" defaultRowHeight="15"/>
  <cols>
    <col width="95" customWidth="1" min="1" max="1"/>
    <col width="44" customWidth="1" min="2" max="2"/>
    <col width="22" customWidth="1" min="3" max="3"/>
    <col width="27" customWidth="1" min="4" max="4"/>
    <col width="11" customWidth="1" min="5" max="5"/>
    <col width="21" customWidth="1" min="6" max="6"/>
    <col width="12" customWidth="1" min="7" max="7"/>
    <col width="19" customWidth="1" min="8" max="8"/>
    <col width="21" customWidth="1" min="9" max="9"/>
    <col width="25" customWidth="1" min="10" max="10"/>
    <col width="20" customWidth="1" min="11" max="11"/>
    <col width="17" customWidth="1" min="12" max="12"/>
    <col width="12" customWidth="1" min="13" max="13"/>
  </cols>
  <sheetData>
    <row r="1">
      <c r="A1" s="16" t="inlineStr">
        <is>
          <t>SALESFORCE (SFDC) EMEA PRICE BOOK MASTER REPOSITORY</t>
        </is>
      </c>
    </row>
    <row r="2">
      <c r="A2" s="17" t="inlineStr">
        <is>
          <t>Master SKU Catalog, Multi-Currency FX Conversions, Channel Tiering &amp; Jira Deployment Tickets</t>
        </is>
      </c>
    </row>
    <row r="3"/>
    <row r="4">
      <c r="A4" s="18" t="inlineStr">
        <is>
          <t>SKU Code</t>
        </is>
      </c>
      <c r="B4" s="19" t="inlineStr">
        <is>
          <t>Product Description</t>
        </is>
      </c>
      <c r="C4" s="18" t="inlineStr">
        <is>
          <t>Market / Region</t>
        </is>
      </c>
      <c r="D4" s="18" t="inlineStr">
        <is>
          <t>Channel</t>
        </is>
      </c>
      <c r="E4" s="18" t="inlineStr">
        <is>
          <t>Currency</t>
        </is>
      </c>
      <c r="F4" s="19" t="inlineStr">
        <is>
          <t>List Price (Local)</t>
        </is>
      </c>
      <c r="G4" s="19" t="inlineStr">
        <is>
          <t>FX to EUR</t>
        </is>
      </c>
      <c r="H4" s="19" t="inlineStr">
        <is>
          <t>List Price (EUR)</t>
        </is>
      </c>
      <c r="I4" s="19" t="inlineStr">
        <is>
          <t>Distributor Disc %</t>
        </is>
      </c>
      <c r="J4" s="19" t="inlineStr">
        <is>
          <t>Contracted Price (EUR)</t>
        </is>
      </c>
      <c r="K4" s="18" t="inlineStr">
        <is>
          <t>SFDC PriceBook ID</t>
        </is>
      </c>
      <c r="L4" s="18" t="inlineStr">
        <is>
          <t>Jira Ticket ID</t>
        </is>
      </c>
      <c r="M4" s="18" t="inlineStr">
        <is>
          <t>IT Status</t>
        </is>
      </c>
    </row>
    <row r="5">
      <c r="A5" s="20" t="inlineStr">
        <is>
          <t>DX-CGM-G7-SEN-01</t>
        </is>
      </c>
      <c r="B5" s="12" t="inlineStr">
        <is>
          <t>Dexcom G7 Continuous Glucose Sensor (1 pk)</t>
        </is>
      </c>
      <c r="C5" s="20" t="inlineStr">
        <is>
          <t>Germany (DE)</t>
        </is>
      </c>
      <c r="D5" s="20" t="inlineStr">
        <is>
          <t>Distributor (Tier 1)</t>
        </is>
      </c>
      <c r="E5" s="20" t="inlineStr">
        <is>
          <t>EUR</t>
        </is>
      </c>
      <c r="F5" s="15" t="n">
        <v>68.5</v>
      </c>
      <c r="G5" s="21" t="n">
        <v>1</v>
      </c>
      <c r="H5" s="15">
        <f>F5*G5</f>
        <v/>
      </c>
      <c r="I5" s="13" t="n">
        <v>0.32</v>
      </c>
      <c r="J5" s="15">
        <f>H5*(1-I5)</f>
        <v/>
      </c>
      <c r="K5" s="20" t="inlineStr">
        <is>
          <t>01s5G000004XYZ1</t>
        </is>
      </c>
      <c r="L5" s="20" t="inlineStr">
        <is>
          <t>JIRA-PRC-1042</t>
        </is>
      </c>
      <c r="M5" s="22" t="inlineStr">
        <is>
          <t>Deployed</t>
        </is>
      </c>
    </row>
    <row r="6">
      <c r="A6" s="23" t="inlineStr">
        <is>
          <t>DX-CGM-G7-SEN-01</t>
        </is>
      </c>
      <c r="B6" s="24" t="inlineStr">
        <is>
          <t>Dexcom G7 Continuous Glucose Sensor (1 pk)</t>
        </is>
      </c>
      <c r="C6" s="23" t="inlineStr">
        <is>
          <t>Germany (DE)</t>
        </is>
      </c>
      <c r="D6" s="23" t="inlineStr">
        <is>
          <t>Direct-to-Consumer (D2C)</t>
        </is>
      </c>
      <c r="E6" s="23" t="inlineStr">
        <is>
          <t>EUR</t>
        </is>
      </c>
      <c r="F6" s="25" t="n">
        <v>72</v>
      </c>
      <c r="G6" s="26" t="n">
        <v>1</v>
      </c>
      <c r="H6" s="25">
        <f>F6*G6</f>
        <v/>
      </c>
      <c r="I6" s="27" t="n">
        <v>0</v>
      </c>
      <c r="J6" s="25">
        <f>H6*(1-I6)</f>
        <v/>
      </c>
      <c r="K6" s="23" t="inlineStr">
        <is>
          <t>01s5G000004XYZ2</t>
        </is>
      </c>
      <c r="L6" s="23" t="inlineStr">
        <is>
          <t>JIRA-PRC-1042</t>
        </is>
      </c>
      <c r="M6" s="22" t="inlineStr">
        <is>
          <t>Deployed</t>
        </is>
      </c>
    </row>
    <row r="7">
      <c r="A7" s="20" t="inlineStr">
        <is>
          <t>DX-CGM-G7-SEN-01</t>
        </is>
      </c>
      <c r="B7" s="12" t="inlineStr">
        <is>
          <t>Dexcom G7 Continuous Glucose Sensor (1 pk)</t>
        </is>
      </c>
      <c r="C7" s="20" t="inlineStr">
        <is>
          <t>United Kingdom (UK)</t>
        </is>
      </c>
      <c r="D7" s="20" t="inlineStr">
        <is>
          <t>Distributor (Tier 1)</t>
        </is>
      </c>
      <c r="E7" s="20" t="inlineStr">
        <is>
          <t>GBP</t>
        </is>
      </c>
      <c r="F7" s="15" t="n">
        <v>58</v>
      </c>
      <c r="G7" s="21" t="n">
        <v>1.17</v>
      </c>
      <c r="H7" s="15">
        <f>F7*G7</f>
        <v/>
      </c>
      <c r="I7" s="13" t="n">
        <v>0.3</v>
      </c>
      <c r="J7" s="15">
        <f>H7*(1-I7)</f>
        <v/>
      </c>
      <c r="K7" s="20" t="inlineStr">
        <is>
          <t>01s5G000004XYZ3</t>
        </is>
      </c>
      <c r="L7" s="20" t="inlineStr">
        <is>
          <t>JIRA-PRC-1045</t>
        </is>
      </c>
      <c r="M7" s="22" t="inlineStr">
        <is>
          <t>Deployed</t>
        </is>
      </c>
    </row>
    <row r="8">
      <c r="A8" s="23" t="inlineStr">
        <is>
          <t>DX-CGM-G7-SEN-01</t>
        </is>
      </c>
      <c r="B8" s="24" t="inlineStr">
        <is>
          <t>Dexcom G7 Continuous Glucose Sensor (1 pk)</t>
        </is>
      </c>
      <c r="C8" s="23" t="inlineStr">
        <is>
          <t>France (FR)</t>
        </is>
      </c>
      <c r="D8" s="23" t="inlineStr">
        <is>
          <t>Hospital / Tender</t>
        </is>
      </c>
      <c r="E8" s="23" t="inlineStr">
        <is>
          <t>EUR</t>
        </is>
      </c>
      <c r="F8" s="25" t="n">
        <v>64</v>
      </c>
      <c r="G8" s="26" t="n">
        <v>1</v>
      </c>
      <c r="H8" s="25">
        <f>F8*G8</f>
        <v/>
      </c>
      <c r="I8" s="27" t="n">
        <v>0.28</v>
      </c>
      <c r="J8" s="25">
        <f>H8*(1-I8)</f>
        <v/>
      </c>
      <c r="K8" s="23" t="inlineStr">
        <is>
          <t>01s5G000004XYZ4</t>
        </is>
      </c>
      <c r="L8" s="23" t="inlineStr">
        <is>
          <t>JIRA-PRC-1048</t>
        </is>
      </c>
      <c r="M8" s="22" t="inlineStr">
        <is>
          <t>Deployed</t>
        </is>
      </c>
    </row>
    <row r="9">
      <c r="A9" s="20" t="inlineStr">
        <is>
          <t>DX-CGM-G7-SEN-01</t>
        </is>
      </c>
      <c r="B9" s="12" t="inlineStr">
        <is>
          <t>Dexcom G7 Continuous Glucose Sensor (1 pk)</t>
        </is>
      </c>
      <c r="C9" s="20" t="inlineStr">
        <is>
          <t>Sweden (SE)</t>
        </is>
      </c>
      <c r="D9" s="20" t="inlineStr">
        <is>
          <t>Distributor (Tier 2)</t>
        </is>
      </c>
      <c r="E9" s="20" t="inlineStr">
        <is>
          <t>SEK</t>
        </is>
      </c>
      <c r="F9" s="15" t="n">
        <v>790</v>
      </c>
      <c r="G9" s="21" t="n">
        <v>0.08599999999999999</v>
      </c>
      <c r="H9" s="15">
        <f>F9*G9</f>
        <v/>
      </c>
      <c r="I9" s="13" t="n">
        <v>0.25</v>
      </c>
      <c r="J9" s="15">
        <f>H9*(1-I9)</f>
        <v/>
      </c>
      <c r="K9" s="20" t="inlineStr">
        <is>
          <t>01s5G000004XYZ5</t>
        </is>
      </c>
      <c r="L9" s="20" t="inlineStr">
        <is>
          <t>JIRA-PRC-1050</t>
        </is>
      </c>
      <c r="M9" s="22" t="inlineStr">
        <is>
          <t>Deployed</t>
        </is>
      </c>
    </row>
    <row r="10">
      <c r="A10" s="23" t="inlineStr">
        <is>
          <t>DX-CGM-G7-SEN-01</t>
        </is>
      </c>
      <c r="B10" s="24" t="inlineStr">
        <is>
          <t>Dexcom G7 Continuous Glucose Sensor (1 pk)</t>
        </is>
      </c>
      <c r="C10" s="23" t="inlineStr">
        <is>
          <t>Baltics (LT/LV/EE)</t>
        </is>
      </c>
      <c r="D10" s="23" t="inlineStr">
        <is>
          <t>Authorized Distributor</t>
        </is>
      </c>
      <c r="E10" s="23" t="inlineStr">
        <is>
          <t>EUR</t>
        </is>
      </c>
      <c r="F10" s="25" t="n">
        <v>66</v>
      </c>
      <c r="G10" s="26" t="n">
        <v>1</v>
      </c>
      <c r="H10" s="25">
        <f>F10*G10</f>
        <v/>
      </c>
      <c r="I10" s="27" t="n">
        <v>0.3</v>
      </c>
      <c r="J10" s="25">
        <f>H10*(1-I10)</f>
        <v/>
      </c>
      <c r="K10" s="23" t="inlineStr">
        <is>
          <t>01s5G000004XYZ6</t>
        </is>
      </c>
      <c r="L10" s="23" t="inlineStr">
        <is>
          <t>JIRA-PRC-1052</t>
        </is>
      </c>
      <c r="M10" s="22" t="inlineStr">
        <is>
          <t>Deployed</t>
        </is>
      </c>
    </row>
    <row r="11">
      <c r="A11" s="20" t="inlineStr">
        <is>
          <t>DX-CGM-G7-TRN-01</t>
        </is>
      </c>
      <c r="B11" s="12" t="inlineStr">
        <is>
          <t>Dexcom G7 Rechargeable Transmitter</t>
        </is>
      </c>
      <c r="C11" s="20" t="inlineStr">
        <is>
          <t>Germany (DE)</t>
        </is>
      </c>
      <c r="D11" s="20" t="inlineStr">
        <is>
          <t>Distributor (Tier 1)</t>
        </is>
      </c>
      <c r="E11" s="20" t="inlineStr">
        <is>
          <t>EUR</t>
        </is>
      </c>
      <c r="F11" s="15" t="n">
        <v>145</v>
      </c>
      <c r="G11" s="21" t="n">
        <v>1</v>
      </c>
      <c r="H11" s="15">
        <f>F11*G11</f>
        <v/>
      </c>
      <c r="I11" s="13" t="n">
        <v>0.35</v>
      </c>
      <c r="J11" s="15">
        <f>H11*(1-I11)</f>
        <v/>
      </c>
      <c r="K11" s="20" t="inlineStr">
        <is>
          <t>01s5G000004TRN1</t>
        </is>
      </c>
      <c r="L11" s="20" t="inlineStr">
        <is>
          <t>JIRA-PRC-1055</t>
        </is>
      </c>
      <c r="M11" s="22" t="inlineStr">
        <is>
          <t>Deployed</t>
        </is>
      </c>
    </row>
    <row r="12">
      <c r="A12" s="23" t="inlineStr">
        <is>
          <t>DX-CGM-G7-TRN-01</t>
        </is>
      </c>
      <c r="B12" s="24" t="inlineStr">
        <is>
          <t>Dexcom G7 Rechargeable Transmitter</t>
        </is>
      </c>
      <c r="C12" s="23" t="inlineStr">
        <is>
          <t>United Kingdom (UK)</t>
        </is>
      </c>
      <c r="D12" s="23" t="inlineStr">
        <is>
          <t>Direct-to-Consumer (D2C)</t>
        </is>
      </c>
      <c r="E12" s="23" t="inlineStr">
        <is>
          <t>GBP</t>
        </is>
      </c>
      <c r="F12" s="25" t="n">
        <v>125</v>
      </c>
      <c r="G12" s="26" t="n">
        <v>1.17</v>
      </c>
      <c r="H12" s="25">
        <f>F12*G12</f>
        <v/>
      </c>
      <c r="I12" s="27" t="n">
        <v>0</v>
      </c>
      <c r="J12" s="25">
        <f>H12*(1-I12)</f>
        <v/>
      </c>
      <c r="K12" s="23" t="inlineStr">
        <is>
          <t>01s5G000004TRN2</t>
        </is>
      </c>
      <c r="L12" s="23" t="inlineStr">
        <is>
          <t>JIRA-PRC-1055</t>
        </is>
      </c>
      <c r="M12" s="22" t="inlineStr">
        <is>
          <t>Deployed</t>
        </is>
      </c>
    </row>
    <row r="13">
      <c r="A13" s="20" t="inlineStr">
        <is>
          <t>DX-CGM-G6-SEN-03</t>
        </is>
      </c>
      <c r="B13" s="12" t="inlineStr">
        <is>
          <t>Dexcom G6 Legacy Sensor Pack (3 pk)</t>
        </is>
      </c>
      <c r="C13" s="20" t="inlineStr">
        <is>
          <t>France (FR)</t>
        </is>
      </c>
      <c r="D13" s="20" t="inlineStr">
        <is>
          <t>Distributor (Tier 1)</t>
        </is>
      </c>
      <c r="E13" s="20" t="inlineStr">
        <is>
          <t>EUR</t>
        </is>
      </c>
      <c r="F13" s="15" t="n">
        <v>175</v>
      </c>
      <c r="G13" s="21" t="n">
        <v>1</v>
      </c>
      <c r="H13" s="15">
        <f>F13*G13</f>
        <v/>
      </c>
      <c r="I13" s="13" t="n">
        <v>0.34</v>
      </c>
      <c r="J13" s="15">
        <f>H13*(1-I13)</f>
        <v/>
      </c>
      <c r="K13" s="20" t="inlineStr">
        <is>
          <t>01s5G000004LEG1</t>
        </is>
      </c>
      <c r="L13" s="20" t="inlineStr">
        <is>
          <t>JIRA-PRC-1060</t>
        </is>
      </c>
      <c r="M13" s="22" t="inlineStr">
        <is>
          <t>Deployed</t>
        </is>
      </c>
    </row>
    <row r="14">
      <c r="A14" s="23" t="inlineStr">
        <is>
          <t>DX-CGM-APP-SUB-01</t>
        </is>
      </c>
      <c r="B14" s="24" t="inlineStr">
        <is>
          <t>Dexcom Clarity Clinical Enterprise Sub</t>
        </is>
      </c>
      <c r="C14" s="23" t="inlineStr">
        <is>
          <t>EMEA Regional</t>
        </is>
      </c>
      <c r="D14" s="23" t="inlineStr">
        <is>
          <t>Direct-to-Clinic</t>
        </is>
      </c>
      <c r="E14" s="23" t="inlineStr">
        <is>
          <t>EUR</t>
        </is>
      </c>
      <c r="F14" s="25" t="n">
        <v>350</v>
      </c>
      <c r="G14" s="26" t="n">
        <v>1</v>
      </c>
      <c r="H14" s="25">
        <f>F14*G14</f>
        <v/>
      </c>
      <c r="I14" s="27" t="n">
        <v>0.15</v>
      </c>
      <c r="J14" s="25">
        <f>H14*(1-I14)</f>
        <v/>
      </c>
      <c r="K14" s="23" t="inlineStr">
        <is>
          <t>01s5G000004SUB1</t>
        </is>
      </c>
      <c r="L14" s="23" t="inlineStr">
        <is>
          <t>JIRA-PRC-1062</t>
        </is>
      </c>
      <c r="M14" s="22" t="inlineStr">
        <is>
          <t>Deployed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1" workbookViewId="0">
      <selection activeCell="A1" sqref="A1"/>
    </sheetView>
  </sheetViews>
  <sheetFormatPr baseColWidth="8" defaultRowHeight="15"/>
  <cols>
    <col width="113" customWidth="1" min="1" max="1"/>
    <col width="34" customWidth="1" min="2" max="2"/>
    <col width="17" customWidth="1" min="3" max="3"/>
    <col width="16" customWidth="1" min="4" max="4"/>
    <col width="20" customWidth="1" min="5" max="5"/>
    <col width="16" customWidth="1" min="6" max="6"/>
    <col width="17" customWidth="1" min="7" max="7"/>
    <col width="16" customWidth="1" min="8" max="8"/>
    <col width="23" customWidth="1" min="9" max="9"/>
    <col width="18" customWidth="1" min="10" max="10"/>
    <col width="17" customWidth="1" min="11" max="11"/>
    <col width="15" customWidth="1" min="12" max="12"/>
    <col width="16" customWidth="1" min="13" max="13"/>
  </cols>
  <sheetData>
    <row r="1">
      <c r="A1" s="16" t="inlineStr">
        <is>
          <t>GROSS-TO-NET COMMERCIAL MARGIN WATERFALL (EMEA DISTRIBUTORS &amp; D2C)</t>
        </is>
      </c>
    </row>
    <row r="2">
      <c r="A2" s="17" t="inlineStr">
        <is>
          <t>Deduction Bridges: Contractual Discounts, Growth Rebates, Co-Marketing, Cash Terms &amp; Net Realized Contribution</t>
        </is>
      </c>
    </row>
    <row r="3"/>
    <row r="4">
      <c r="A4" s="18" t="inlineStr">
        <is>
          <t>SKU Code</t>
        </is>
      </c>
      <c r="B4" s="18" t="inlineStr">
        <is>
          <t>Market / Account</t>
        </is>
      </c>
      <c r="C4" s="28" t="inlineStr">
        <is>
          <t>Gross List (€)</t>
        </is>
      </c>
      <c r="D4" s="28" t="inlineStr">
        <is>
          <t>Base Disc (€)</t>
        </is>
      </c>
      <c r="E4" s="28" t="inlineStr">
        <is>
          <t>Volume Rebate (€)</t>
        </is>
      </c>
      <c r="F4" s="28" t="inlineStr">
        <is>
          <t>Co-Op MDF (€)</t>
        </is>
      </c>
      <c r="G4" s="28" t="inlineStr">
        <is>
          <t>Cash Terms (€)</t>
        </is>
      </c>
      <c r="H4" s="28" t="inlineStr">
        <is>
          <t>Logistics (€)</t>
        </is>
      </c>
      <c r="I4" s="28" t="inlineStr">
        <is>
          <t>Net Realized ASP (€)</t>
        </is>
      </c>
      <c r="J4" s="28" t="inlineStr">
        <is>
          <t>Direct COGS (€)</t>
        </is>
      </c>
      <c r="K4" s="28" t="inlineStr">
        <is>
          <t>Net Margin (€)</t>
        </is>
      </c>
      <c r="L4" s="28" t="inlineStr">
        <is>
          <t>Net Margin %</t>
        </is>
      </c>
      <c r="M4" s="18" t="inlineStr">
        <is>
          <t>Health Status</t>
        </is>
      </c>
    </row>
    <row r="5">
      <c r="A5" s="12" t="inlineStr">
        <is>
          <t>DX-CGM-G7-SEN-01</t>
        </is>
      </c>
      <c r="B5" s="12" t="inlineStr">
        <is>
          <t>DE - MedSupply GmbH (Tier 1)</t>
        </is>
      </c>
      <c r="C5" s="15">
        <f>Price_Book_Master!H5</f>
        <v/>
      </c>
      <c r="D5" s="15">
        <f>C5*Price_Book_Master!I5</f>
        <v/>
      </c>
      <c r="E5" s="15">
        <f>C5*0.035</f>
        <v/>
      </c>
      <c r="F5" s="15">
        <f>C5*0.015</f>
        <v/>
      </c>
      <c r="G5" s="15">
        <f>C5*0.010</f>
        <v/>
      </c>
      <c r="H5" s="15" t="n">
        <v>1.8</v>
      </c>
      <c r="I5" s="15">
        <f>C5-D5-E5-F5-G5-H5</f>
        <v/>
      </c>
      <c r="J5" s="15" t="n">
        <v>14.5</v>
      </c>
      <c r="K5" s="15">
        <f>I5-J5</f>
        <v/>
      </c>
      <c r="L5" s="29">
        <f>K5/I5</f>
        <v/>
      </c>
      <c r="M5" s="22">
        <f>IF(L5&gt;0.6,"Optimal",IF(L5&gt;0.5,"Acceptable","Review"))</f>
        <v/>
      </c>
    </row>
    <row r="6">
      <c r="A6" s="24" t="inlineStr">
        <is>
          <t>DX-CGM-G7-SEN-01</t>
        </is>
      </c>
      <c r="B6" s="24" t="inlineStr">
        <is>
          <t>DE - D2C Webstore Direct</t>
        </is>
      </c>
      <c r="C6" s="25">
        <f>Price_Book_Master!H6</f>
        <v/>
      </c>
      <c r="D6" s="25" t="n">
        <v>0</v>
      </c>
      <c r="E6" s="25" t="n">
        <v>0</v>
      </c>
      <c r="F6" s="25" t="n">
        <v>0</v>
      </c>
      <c r="G6" s="25">
        <f>C6*0.022</f>
        <v/>
      </c>
      <c r="H6" s="25" t="n">
        <v>3.2</v>
      </c>
      <c r="I6" s="25">
        <f>C6-D6-E6-F6-G6-H6</f>
        <v/>
      </c>
      <c r="J6" s="25" t="n">
        <v>14.5</v>
      </c>
      <c r="K6" s="25">
        <f>I6-J6</f>
        <v/>
      </c>
      <c r="L6" s="30">
        <f>K6/I6</f>
        <v/>
      </c>
      <c r="M6" s="22">
        <f>IF(L6&gt;0.6,"Optimal",IF(L6&gt;0.5,"Acceptable","Review"))</f>
        <v/>
      </c>
    </row>
    <row r="7">
      <c r="A7" s="12" t="inlineStr">
        <is>
          <t>DX-CGM-G7-SEN-01</t>
        </is>
      </c>
      <c r="B7" s="12" t="inlineStr">
        <is>
          <t>UK - MediCare Alliance</t>
        </is>
      </c>
      <c r="C7" s="15">
        <f>Price_Book_Master!H7</f>
        <v/>
      </c>
      <c r="D7" s="15">
        <f>C7*Price_Book_Master!I7</f>
        <v/>
      </c>
      <c r="E7" s="15">
        <f>C7*0.040</f>
        <v/>
      </c>
      <c r="F7" s="15">
        <f>C7*0.010</f>
        <v/>
      </c>
      <c r="G7" s="15">
        <f>C7*0.010</f>
        <v/>
      </c>
      <c r="H7" s="15" t="n">
        <v>2.1</v>
      </c>
      <c r="I7" s="15">
        <f>C7-D7-E7-F7-G7-H7</f>
        <v/>
      </c>
      <c r="J7" s="15" t="n">
        <v>14.5</v>
      </c>
      <c r="K7" s="15">
        <f>I7-J7</f>
        <v/>
      </c>
      <c r="L7" s="29">
        <f>K7/I7</f>
        <v/>
      </c>
      <c r="M7" s="22">
        <f>IF(L7&gt;0.6,"Optimal",IF(L7&gt;0.5,"Acceptable","Review"))</f>
        <v/>
      </c>
    </row>
    <row r="8">
      <c r="A8" s="24" t="inlineStr">
        <is>
          <t>DX-CGM-G7-SEN-01</t>
        </is>
      </c>
      <c r="B8" s="24" t="inlineStr">
        <is>
          <t>FR - Assistance Publique (Tender)</t>
        </is>
      </c>
      <c r="C8" s="25">
        <f>Price_Book_Master!H8</f>
        <v/>
      </c>
      <c r="D8" s="25">
        <f>C8*Price_Book_Master!I8</f>
        <v/>
      </c>
      <c r="E8" s="25">
        <f>C8*0.020</f>
        <v/>
      </c>
      <c r="F8" s="25" t="n">
        <v>0</v>
      </c>
      <c r="G8" s="25" t="n">
        <v>0</v>
      </c>
      <c r="H8" s="25" t="n">
        <v>2.5</v>
      </c>
      <c r="I8" s="25">
        <f>C8-D8-E8-F8-G8-H8</f>
        <v/>
      </c>
      <c r="J8" s="25" t="n">
        <v>14.5</v>
      </c>
      <c r="K8" s="25">
        <f>I8-J8</f>
        <v/>
      </c>
      <c r="L8" s="30">
        <f>K8/I8</f>
        <v/>
      </c>
      <c r="M8" s="22">
        <f>IF(L8&gt;0.6,"Optimal",IF(L8&gt;0.5,"Acceptable","Review"))</f>
        <v/>
      </c>
    </row>
    <row r="9">
      <c r="A9" s="12" t="inlineStr">
        <is>
          <t>DX-CGM-G7-SEN-01</t>
        </is>
      </c>
      <c r="B9" s="12" t="inlineStr">
        <is>
          <t>SE - NordicHealth AB</t>
        </is>
      </c>
      <c r="C9" s="15">
        <f>Price_Book_Master!H9</f>
        <v/>
      </c>
      <c r="D9" s="15">
        <f>C9*Price_Book_Master!I9</f>
        <v/>
      </c>
      <c r="E9" s="15">
        <f>C9*0.030</f>
        <v/>
      </c>
      <c r="F9" s="15">
        <f>C9*0.020</f>
        <v/>
      </c>
      <c r="G9" s="15">
        <f>C9*0.010</f>
        <v/>
      </c>
      <c r="H9" s="15" t="n">
        <v>2.2</v>
      </c>
      <c r="I9" s="15">
        <f>C9-D9-E9-F9-G9-H9</f>
        <v/>
      </c>
      <c r="J9" s="15" t="n">
        <v>14.5</v>
      </c>
      <c r="K9" s="15">
        <f>I9-J9</f>
        <v/>
      </c>
      <c r="L9" s="29">
        <f>K9/I9</f>
        <v/>
      </c>
      <c r="M9" s="22">
        <f>IF(L9&gt;0.6,"Optimal",IF(L9&gt;0.5,"Acceptable","Review"))</f>
        <v/>
      </c>
    </row>
    <row r="10">
      <c r="A10" s="24" t="inlineStr">
        <is>
          <t>DX-CGM-G7-SEN-01</t>
        </is>
      </c>
      <c r="B10" s="24" t="inlineStr">
        <is>
          <t>LT - BalticPharma UAB</t>
        </is>
      </c>
      <c r="C10" s="25">
        <f>Price_Book_Master!H10</f>
        <v/>
      </c>
      <c r="D10" s="25">
        <f>C10*Price_Book_Master!I10</f>
        <v/>
      </c>
      <c r="E10" s="25">
        <f>C10*0.025</f>
        <v/>
      </c>
      <c r="F10" s="25">
        <f>C10*0.010</f>
        <v/>
      </c>
      <c r="G10" s="25">
        <f>C10*0.010</f>
        <v/>
      </c>
      <c r="H10" s="25" t="n">
        <v>1.5</v>
      </c>
      <c r="I10" s="25">
        <f>C10-D10-E10-F10-G10-H10</f>
        <v/>
      </c>
      <c r="J10" s="25" t="n">
        <v>14.5</v>
      </c>
      <c r="K10" s="25">
        <f>I10-J10</f>
        <v/>
      </c>
      <c r="L10" s="30">
        <f>K10/I10</f>
        <v/>
      </c>
      <c r="M10" s="22">
        <f>IF(L10&gt;0.6,"Optimal",IF(L10&gt;0.5,"Acceptable","Review"))</f>
        <v/>
      </c>
    </row>
    <row r="11">
      <c r="A11" s="12" t="inlineStr">
        <is>
          <t>DX-CGM-G7-TRN-01</t>
        </is>
      </c>
      <c r="B11" s="12" t="inlineStr">
        <is>
          <t>DE - MedSupply GmbH (Transmitter)</t>
        </is>
      </c>
      <c r="C11" s="15">
        <f>Price_Book_Master!H11</f>
        <v/>
      </c>
      <c r="D11" s="15">
        <f>C11*Price_Book_Master!I11</f>
        <v/>
      </c>
      <c r="E11" s="15">
        <f>C11*0.030</f>
        <v/>
      </c>
      <c r="F11" s="15">
        <f>C11*0.015</f>
        <v/>
      </c>
      <c r="G11" s="15">
        <f>C11*0.010</f>
        <v/>
      </c>
      <c r="H11" s="15" t="n">
        <v>3.5</v>
      </c>
      <c r="I11" s="15">
        <f>C11-D11-E11-F11-G11-H11</f>
        <v/>
      </c>
      <c r="J11" s="15" t="n">
        <v>28</v>
      </c>
      <c r="K11" s="15">
        <f>I11-J11</f>
        <v/>
      </c>
      <c r="L11" s="29">
        <f>K11/I11</f>
        <v/>
      </c>
      <c r="M11" s="22">
        <f>IF(L11&gt;0.6,"Optimal",IF(L11&gt;0.5,"Acceptable","Review"))</f>
        <v/>
      </c>
    </row>
    <row r="12">
      <c r="A12" s="24" t="inlineStr">
        <is>
          <t>DX-CGM-G7-TRN-01</t>
        </is>
      </c>
      <c r="B12" s="24" t="inlineStr">
        <is>
          <t>UK - D2C Webstore Direct</t>
        </is>
      </c>
      <c r="C12" s="25">
        <f>Price_Book_Master!H12</f>
        <v/>
      </c>
      <c r="D12" s="25" t="n">
        <v>0</v>
      </c>
      <c r="E12" s="25" t="n">
        <v>0</v>
      </c>
      <c r="F12" s="25" t="n">
        <v>0</v>
      </c>
      <c r="G12" s="25">
        <f>C12*0.020</f>
        <v/>
      </c>
      <c r="H12" s="25" t="n">
        <v>4.1</v>
      </c>
      <c r="I12" s="25">
        <f>C12-D12-E12-F12-G12-H12</f>
        <v/>
      </c>
      <c r="J12" s="25" t="n">
        <v>28</v>
      </c>
      <c r="K12" s="25">
        <f>I12-J12</f>
        <v/>
      </c>
      <c r="L12" s="30">
        <f>K12/I12</f>
        <v/>
      </c>
      <c r="M12" s="22">
        <f>IF(L12&gt;0.6,"Optimal",IF(L12&gt;0.5,"Acceptable","Review"))</f>
        <v/>
      </c>
    </row>
    <row r="13">
      <c r="A13" s="12" t="inlineStr">
        <is>
          <t>DX-CGM-G6-SEN-03</t>
        </is>
      </c>
      <c r="B13" s="12" t="inlineStr">
        <is>
          <t>FR - Sanofi Distribution</t>
        </is>
      </c>
      <c r="C13" s="15">
        <f>Price_Book_Master!H13</f>
        <v/>
      </c>
      <c r="D13" s="15">
        <f>C13*Price_Book_Master!I13</f>
        <v/>
      </c>
      <c r="E13" s="15">
        <f>C13*0.020</f>
        <v/>
      </c>
      <c r="F13" s="15">
        <f>C13*0.010</f>
        <v/>
      </c>
      <c r="G13" s="15">
        <f>C13*0.010</f>
        <v/>
      </c>
      <c r="H13" s="15" t="n">
        <v>3.8</v>
      </c>
      <c r="I13" s="15">
        <f>C13-D13-E13-F13-G13-H13</f>
        <v/>
      </c>
      <c r="J13" s="15" t="n">
        <v>38</v>
      </c>
      <c r="K13" s="15">
        <f>I13-J13</f>
        <v/>
      </c>
      <c r="L13" s="29">
        <f>K13/I13</f>
        <v/>
      </c>
      <c r="M13" s="22">
        <f>IF(L13&gt;0.6,"Optimal",IF(L13&gt;0.5,"Acceptable","Review"))</f>
        <v/>
      </c>
    </row>
    <row r="14">
      <c r="A14" s="24" t="inlineStr">
        <is>
          <t>DX-CGM-APP-SUB-01</t>
        </is>
      </c>
      <c r="B14" s="24" t="inlineStr">
        <is>
          <t>EMEA - Hospital Clinical Portal</t>
        </is>
      </c>
      <c r="C14" s="25">
        <f>Price_Book_Master!H14</f>
        <v/>
      </c>
      <c r="D14" s="25">
        <f>C14*Price_Book_Master!I14</f>
        <v/>
      </c>
      <c r="E14" s="25" t="n">
        <v>0</v>
      </c>
      <c r="F14" s="25" t="n">
        <v>0</v>
      </c>
      <c r="G14" s="25" t="n">
        <v>0</v>
      </c>
      <c r="H14" s="25" t="n">
        <v>0</v>
      </c>
      <c r="I14" s="25">
        <f>C14-D14-E14-F14-G14-H14</f>
        <v/>
      </c>
      <c r="J14" s="25" t="n">
        <v>25</v>
      </c>
      <c r="K14" s="25">
        <f>I14-J14</f>
        <v/>
      </c>
      <c r="L14" s="30">
        <f>K14/I14</f>
        <v/>
      </c>
      <c r="M14" s="22">
        <f>IF(L14&gt;0.6,"Optimal",IF(L14&gt;0.5,"Acceptable","Review"))</f>
        <v/>
      </c>
    </row>
    <row r="15">
      <c r="A15" s="31" t="inlineStr">
        <is>
          <t>EMEA Weighted Average</t>
        </is>
      </c>
      <c r="C15" s="32">
        <f>AVERAGE(C5:C14)</f>
        <v/>
      </c>
      <c r="D15" s="32">
        <f>AVERAGE(D5:D14)</f>
        <v/>
      </c>
      <c r="E15" s="32">
        <f>AVERAGE(E5:E14)</f>
        <v/>
      </c>
      <c r="F15" s="32">
        <f>AVERAGE(F5:F14)</f>
        <v/>
      </c>
      <c r="G15" s="32">
        <f>AVERAGE(G5:G14)</f>
        <v/>
      </c>
      <c r="H15" s="32">
        <f>AVERAGE(H5:H14)</f>
        <v/>
      </c>
      <c r="I15" s="32">
        <f>AVERAGE(I5:I14)</f>
        <v/>
      </c>
      <c r="J15" s="32">
        <f>AVERAGE(J5:J14)</f>
        <v/>
      </c>
      <c r="K15" s="32">
        <f>AVERAGE(K5:K14)</f>
        <v/>
      </c>
      <c r="L15" s="33">
        <f>K15/I15</f>
        <v/>
      </c>
      <c r="M15" s="34" t="inlineStr">
        <is>
          <t>HEALTHY</t>
        </is>
      </c>
    </row>
  </sheetData>
  <mergeCells count="1">
    <mergeCell ref="A15:B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99" customWidth="1" min="1" max="1"/>
    <col width="11" customWidth="1" min="2" max="2"/>
    <col width="11" customWidth="1" min="3" max="3"/>
    <col width="6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6" t="inlineStr">
        <is>
          <t>ECONOMETRIC PRICE ELASTICITY &amp; TWO-WAY SENSITIVITY MATRIX</t>
        </is>
      </c>
    </row>
    <row r="2">
      <c r="A2" s="17" t="inlineStr">
        <is>
          <t>Simulating Gross Profit Impact across Price Change % vs Elasticity Coefficients (-0.80 to -1.80)</t>
        </is>
      </c>
    </row>
    <row r="3"/>
    <row r="4">
      <c r="A4" s="35" t="inlineStr">
        <is>
          <t>Baseline Model Parameters</t>
        </is>
      </c>
      <c r="D4" s="35" t="inlineStr">
        <is>
          <t>2-WAY SENSITIVITY: PROJECTED GROSS PROFIT (€M) UNDER ELASTICITY</t>
        </is>
      </c>
    </row>
    <row r="5">
      <c r="A5" s="36" t="inlineStr">
        <is>
          <t>Baseline EMEA Annual Units Sold:</t>
        </is>
      </c>
      <c r="B5" s="37" t="n">
        <v>750000</v>
      </c>
      <c r="D5" s="38" t="inlineStr">
        <is>
          <t>Price \ PED</t>
        </is>
      </c>
      <c r="E5" s="39" t="n">
        <v>-0.8</v>
      </c>
      <c r="F5" s="39" t="n">
        <v>-1</v>
      </c>
      <c r="G5" s="39" t="n">
        <v>-1.25</v>
      </c>
      <c r="H5" s="39" t="n">
        <v>-1.5</v>
      </c>
      <c r="I5" s="39" t="n">
        <v>-1.8</v>
      </c>
    </row>
    <row r="6">
      <c r="A6" s="36" t="inlineStr">
        <is>
          <t>Baseline Blended Net ASP (€):</t>
        </is>
      </c>
      <c r="B6" s="40" t="n">
        <v>42</v>
      </c>
      <c r="D6" s="41" t="n">
        <v>-0.1</v>
      </c>
      <c r="E6" s="15">
        <f>($B$5 * (1 + $D6 * E$5) * (($B$6 * (1 + $D6)) - $B$7)) / 1000000</f>
        <v/>
      </c>
      <c r="F6" s="15">
        <f>($B$5 * (1 + $D6 * F$5) * (($B$6 * (1 + $D6)) - $B$7)) / 1000000</f>
        <v/>
      </c>
      <c r="G6" s="15">
        <f>($B$5 * (1 + $D6 * G$5) * (($B$6 * (1 + $D6)) - $B$7)) / 1000000</f>
        <v/>
      </c>
      <c r="H6" s="15">
        <f>($B$5 * (1 + $D6 * H$5) * (($B$6 * (1 + $D6)) - $B$7)) / 1000000</f>
        <v/>
      </c>
      <c r="I6" s="15">
        <f>($B$5 * (1 + $D6 * I$5) * (($B$6 * (1 + $D6)) - $B$7)) / 1000000</f>
        <v/>
      </c>
    </row>
    <row r="7">
      <c r="A7" s="36" t="inlineStr">
        <is>
          <t>Baseline Variable Unit COGS (€):</t>
        </is>
      </c>
      <c r="B7" s="40" t="n">
        <v>14.5</v>
      </c>
      <c r="D7" s="41" t="n">
        <v>-0.05</v>
      </c>
      <c r="E7" s="15">
        <f>($B$5 * (1 + $D7 * E$5) * (($B$6 * (1 + $D7)) - $B$7)) / 1000000</f>
        <v/>
      </c>
      <c r="F7" s="15">
        <f>($B$5 * (1 + $D7 * F$5) * (($B$6 * (1 + $D7)) - $B$7)) / 1000000</f>
        <v/>
      </c>
      <c r="G7" s="15">
        <f>($B$5 * (1 + $D7 * G$5) * (($B$6 * (1 + $D7)) - $B$7)) / 1000000</f>
        <v/>
      </c>
      <c r="H7" s="15">
        <f>($B$5 * (1 + $D7 * H$5) * (($B$6 * (1 + $D7)) - $B$7)) / 1000000</f>
        <v/>
      </c>
      <c r="I7" s="15">
        <f>($B$5 * (1 + $D7 * I$5) * (($B$6 * (1 + $D7)) - $B$7)) / 1000000</f>
        <v/>
      </c>
    </row>
    <row r="8">
      <c r="A8" s="36" t="inlineStr">
        <is>
          <t>Baseline Unit Contribution (€):</t>
        </is>
      </c>
      <c r="B8" s="40">
        <f>B6-B7</f>
        <v/>
      </c>
      <c r="D8" s="41" t="n">
        <v>0</v>
      </c>
      <c r="E8" s="15">
        <f>($B$5 * (1 + $D8 * E$5) * (($B$6 * (1 + $D8)) - $B$7)) / 1000000</f>
        <v/>
      </c>
      <c r="F8" s="15">
        <f>($B$5 * (1 + $D8 * F$5) * (($B$6 * (1 + $D8)) - $B$7)) / 1000000</f>
        <v/>
      </c>
      <c r="G8" s="42">
        <f>($B$5 * (1 + $D8 * G$5) * (($B$6 * (1 + $D8)) - $B$7)) / 1000000</f>
        <v/>
      </c>
      <c r="H8" s="15">
        <f>($B$5 * (1 + $D8 * H$5) * (($B$6 * (1 + $D8)) - $B$7)) / 1000000</f>
        <v/>
      </c>
      <c r="I8" s="15">
        <f>($B$5 * (1 + $D8 * I$5) * (($B$6 * (1 + $D8)) - $B$7)) / 1000000</f>
        <v/>
      </c>
    </row>
    <row r="9">
      <c r="A9" s="36" t="inlineStr">
        <is>
          <t>Baseline Total Gross Profit (€M):</t>
        </is>
      </c>
      <c r="B9" s="43">
        <f>(B5*B8)/1000000</f>
        <v/>
      </c>
      <c r="D9" s="41" t="n">
        <v>0.05</v>
      </c>
      <c r="E9" s="15">
        <f>($B$5 * (1 + $D9 * E$5) * (($B$6 * (1 + $D9)) - $B$7)) / 1000000</f>
        <v/>
      </c>
      <c r="F9" s="15">
        <f>($B$5 * (1 + $D9 * F$5) * (($B$6 * (1 + $D9)) - $B$7)) / 1000000</f>
        <v/>
      </c>
      <c r="G9" s="15">
        <f>($B$5 * (1 + $D9 * G$5) * (($B$6 * (1 + $D9)) - $B$7)) / 1000000</f>
        <v/>
      </c>
      <c r="H9" s="15">
        <f>($B$5 * (1 + $D9 * H$5) * (($B$6 * (1 + $D9)) - $B$7)) / 1000000</f>
        <v/>
      </c>
      <c r="I9" s="15">
        <f>($B$5 * (1 + $D9 * I$5) * (($B$6 * (1 + $D9)) - $B$7)) / 1000000</f>
        <v/>
      </c>
    </row>
    <row r="10">
      <c r="D10" s="41" t="n">
        <v>0.1</v>
      </c>
      <c r="E10" s="15">
        <f>($B$5 * (1 + $D10 * E$5) * (($B$6 * (1 + $D10)) - $B$7)) / 1000000</f>
        <v/>
      </c>
      <c r="F10" s="15">
        <f>($B$5 * (1 + $D10 * F$5) * (($B$6 * (1 + $D10)) - $B$7)) / 1000000</f>
        <v/>
      </c>
      <c r="G10" s="15">
        <f>($B$5 * (1 + $D10 * G$5) * (($B$6 * (1 + $D10)) - $B$7)) / 1000000</f>
        <v/>
      </c>
      <c r="H10" s="15">
        <f>($B$5 * (1 + $D10 * H$5) * (($B$6 * (1 + $D10)) - $B$7)) / 1000000</f>
        <v/>
      </c>
      <c r="I10" s="15">
        <f>($B$5 * (1 + $D10 * I$5) * (($B$6 * (1 + $D10)) - $B$7)) / 1000000</f>
        <v/>
      </c>
    </row>
  </sheetData>
  <mergeCells count="2">
    <mergeCell ref="A4:B4"/>
    <mergeCell ref="D4:I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1" workbookViewId="0">
      <selection activeCell="A1" sqref="A1"/>
    </sheetView>
  </sheetViews>
  <sheetFormatPr baseColWidth="8" defaultRowHeight="15"/>
  <cols>
    <col width="102" customWidth="1" min="1" max="1"/>
    <col width="40" customWidth="1" min="2" max="2"/>
    <col width="22" customWidth="1" min="3" max="3"/>
    <col width="27" customWidth="1" min="4" max="4"/>
    <col width="28" customWidth="1" min="5" max="5"/>
    <col width="29" customWidth="1" min="6" max="6"/>
    <col width="24" customWidth="1" min="7" max="7"/>
    <col width="20" customWidth="1" min="8" max="8"/>
    <col width="25" customWidth="1" min="9" max="9"/>
    <col width="28" customWidth="1" min="10" max="10"/>
  </cols>
  <sheetData>
    <row r="1">
      <c r="A1" s="16" t="inlineStr">
        <is>
          <t>JIRA IT &amp; SFDC PRICE BOOK OPERATIONAL CHANGE LOG</t>
        </is>
      </c>
    </row>
    <row r="2">
      <c r="A2" s="17" t="inlineStr">
        <is>
          <t>Cross-Functional Collaboration: Commercial Requests, IT Sprint Backlog, UAT Validation &amp; Deployment</t>
        </is>
      </c>
    </row>
    <row r="3"/>
    <row r="4">
      <c r="A4" s="18" t="inlineStr">
        <is>
          <t>Jira Ticket ID</t>
        </is>
      </c>
      <c r="B4" s="19" t="inlineStr">
        <is>
          <t>Commercial Initiative</t>
        </is>
      </c>
      <c r="C4" s="18" t="inlineStr">
        <is>
          <t>Market / Territory</t>
        </is>
      </c>
      <c r="D4" s="18" t="inlineStr">
        <is>
          <t>Change Type</t>
        </is>
      </c>
      <c r="E4" s="19" t="inlineStr">
        <is>
          <t>Requestor</t>
        </is>
      </c>
      <c r="F4" s="18" t="inlineStr">
        <is>
          <t>Legal / Compliance Signoff</t>
        </is>
      </c>
      <c r="G4" s="18" t="inlineStr">
        <is>
          <t>Finance Signoff</t>
        </is>
      </c>
      <c r="H4" s="18" t="inlineStr">
        <is>
          <t>IT Sprint Release</t>
        </is>
      </c>
      <c r="I4" s="18" t="inlineStr">
        <is>
          <t>SFDC Deployment Status</t>
        </is>
      </c>
      <c r="J4" s="18" t="inlineStr">
        <is>
          <t>Post-Deploy QA Audit</t>
        </is>
      </c>
    </row>
    <row r="5">
      <c r="A5" s="20" t="inlineStr">
        <is>
          <t>JIRA-PRC-1042</t>
        </is>
      </c>
      <c r="B5" s="12" t="inlineStr">
        <is>
          <t>G7 Launch Germany Commercial Price Book</t>
        </is>
      </c>
      <c r="C5" s="20" t="inlineStr">
        <is>
          <t>Germany (DE)</t>
        </is>
      </c>
      <c r="D5" s="20" t="inlineStr">
        <is>
          <t>New SKU Activation</t>
        </is>
      </c>
      <c r="E5" s="12" t="inlineStr">
        <is>
          <t>H. Schmidt (Commercial Lead)</t>
        </is>
      </c>
      <c r="F5" s="44" t="inlineStr">
        <is>
          <t>Approved (14/09/2026)</t>
        </is>
      </c>
      <c r="G5" s="44" t="inlineStr">
        <is>
          <t>Approved (16/09/2026)</t>
        </is>
      </c>
      <c r="H5" s="20" t="inlineStr">
        <is>
          <t>Sprint 2026.4</t>
        </is>
      </c>
      <c r="I5" s="45" t="inlineStr">
        <is>
          <t>Production Deployed</t>
        </is>
      </c>
      <c r="J5" s="46" t="inlineStr">
        <is>
          <t>Verified 0 Schema Errors</t>
        </is>
      </c>
    </row>
    <row r="6">
      <c r="A6" s="23" t="inlineStr">
        <is>
          <t>JIRA-PRC-1045</t>
        </is>
      </c>
      <c r="B6" s="24" t="inlineStr">
        <is>
          <t>UK NHS Tender Framework Update</t>
        </is>
      </c>
      <c r="C6" s="23" t="inlineStr">
        <is>
          <t>United Kingdom (UK)</t>
        </is>
      </c>
      <c r="D6" s="23" t="inlineStr">
        <is>
          <t>Tender Price Banding</t>
        </is>
      </c>
      <c r="E6" s="24" t="inlineStr">
        <is>
          <t>E. Taylor (UK Market Dir)</t>
        </is>
      </c>
      <c r="F6" s="47" t="inlineStr">
        <is>
          <t>Approved (18/09/2026)</t>
        </is>
      </c>
      <c r="G6" s="47" t="inlineStr">
        <is>
          <t>Approved (19/09/2026)</t>
        </is>
      </c>
      <c r="H6" s="23" t="inlineStr">
        <is>
          <t>Sprint 2026.4</t>
        </is>
      </c>
      <c r="I6" s="45" t="inlineStr">
        <is>
          <t>Production Deployed</t>
        </is>
      </c>
      <c r="J6" s="48" t="inlineStr">
        <is>
          <t>Verified 100% Price Match</t>
        </is>
      </c>
    </row>
    <row r="7">
      <c r="A7" s="20" t="inlineStr">
        <is>
          <t>JIRA-PRC-1048</t>
        </is>
      </c>
      <c r="B7" s="12" t="inlineStr">
        <is>
          <t>French Reimbursement Code Alignment</t>
        </is>
      </c>
      <c r="C7" s="20" t="inlineStr">
        <is>
          <t>France (FR)</t>
        </is>
      </c>
      <c r="D7" s="20" t="inlineStr">
        <is>
          <t>Reimbursement Index</t>
        </is>
      </c>
      <c r="E7" s="12" t="inlineStr">
        <is>
          <t>J. Moreau (Pricing Mgr)</t>
        </is>
      </c>
      <c r="F7" s="44" t="inlineStr">
        <is>
          <t>Approved (22/09/2026)</t>
        </is>
      </c>
      <c r="G7" s="44" t="inlineStr">
        <is>
          <t>Approved (24/09/2026)</t>
        </is>
      </c>
      <c r="H7" s="20" t="inlineStr">
        <is>
          <t>Sprint 2026.5</t>
        </is>
      </c>
      <c r="I7" s="45" t="inlineStr">
        <is>
          <t>Production Deployed</t>
        </is>
      </c>
      <c r="J7" s="46" t="inlineStr">
        <is>
          <t>Passed Margin Gate</t>
        </is>
      </c>
    </row>
    <row r="8">
      <c r="A8" s="23" t="inlineStr">
        <is>
          <t>JIRA-PRC-1050</t>
        </is>
      </c>
      <c r="B8" s="24" t="inlineStr">
        <is>
          <t>Nordic SEK FX Depreciation Surcharge</t>
        </is>
      </c>
      <c r="C8" s="23" t="inlineStr">
        <is>
          <t>Sweden (SE)</t>
        </is>
      </c>
      <c r="D8" s="23" t="inlineStr">
        <is>
          <t>FX Corridor Realignment</t>
        </is>
      </c>
      <c r="E8" s="24" t="inlineStr">
        <is>
          <t>L. Lindqvist (Nordic Sales)</t>
        </is>
      </c>
      <c r="F8" s="47" t="inlineStr">
        <is>
          <t>Approved (25/09/2026)</t>
        </is>
      </c>
      <c r="G8" s="47" t="inlineStr">
        <is>
          <t>Approved (27/09/2026)</t>
        </is>
      </c>
      <c r="H8" s="23" t="inlineStr">
        <is>
          <t>Sprint 2026.5</t>
        </is>
      </c>
      <c r="I8" s="45" t="inlineStr">
        <is>
          <t>Production Deployed</t>
        </is>
      </c>
      <c r="J8" s="48" t="inlineStr">
        <is>
          <t>Re-hedged at 0.086 EUR</t>
        </is>
      </c>
    </row>
    <row r="9">
      <c r="A9" s="20" t="inlineStr">
        <is>
          <t>JIRA-PRC-1052</t>
        </is>
      </c>
      <c r="B9" s="12" t="inlineStr">
        <is>
          <t>Baltic Distributor Margin Tier Restructure</t>
        </is>
      </c>
      <c r="C9" s="20" t="inlineStr">
        <is>
          <t>Baltics (LT/LV/EE)</t>
        </is>
      </c>
      <c r="D9" s="20" t="inlineStr">
        <is>
          <t>Tier Discount Rebate</t>
        </is>
      </c>
      <c r="E9" s="12" t="inlineStr">
        <is>
          <t>M. Kazlauskas (Baltic Reg)</t>
        </is>
      </c>
      <c r="F9" s="44" t="inlineStr">
        <is>
          <t>Approved (02/10/2026)</t>
        </is>
      </c>
      <c r="G9" s="44" t="inlineStr">
        <is>
          <t>Approved (04/10/2026)</t>
        </is>
      </c>
      <c r="H9" s="20" t="inlineStr">
        <is>
          <t>Sprint 2026.6</t>
        </is>
      </c>
      <c r="I9" s="45" t="inlineStr">
        <is>
          <t>Production Deployed</t>
        </is>
      </c>
      <c r="J9" s="46" t="inlineStr">
        <is>
          <t>Distributor Portal Synced</t>
        </is>
      </c>
    </row>
    <row r="10">
      <c r="A10" s="23" t="inlineStr">
        <is>
          <t>JIRA-PRC-1055</t>
        </is>
      </c>
      <c r="B10" s="24" t="inlineStr">
        <is>
          <t>G7 Rechargeable Transmitter Bundle</t>
        </is>
      </c>
      <c r="C10" s="23" t="inlineStr">
        <is>
          <t>Pan-EMEA</t>
        </is>
      </c>
      <c r="D10" s="23" t="inlineStr">
        <is>
          <t>Bundle Pricing Logic</t>
        </is>
      </c>
      <c r="E10" s="24" t="inlineStr">
        <is>
          <t>C. Weber (Product Ops)</t>
        </is>
      </c>
      <c r="F10" s="47" t="inlineStr">
        <is>
          <t>Approved (08/10/2026)</t>
        </is>
      </c>
      <c r="G10" s="47" t="inlineStr">
        <is>
          <t>Approved (10/10/2026)</t>
        </is>
      </c>
      <c r="H10" s="23" t="inlineStr">
        <is>
          <t>Sprint 2026.6</t>
        </is>
      </c>
      <c r="I10" s="45" t="inlineStr">
        <is>
          <t>Production Deployed</t>
        </is>
      </c>
      <c r="J10" s="48" t="inlineStr">
        <is>
          <t>Passed Bundle Validation</t>
        </is>
      </c>
    </row>
    <row r="11">
      <c r="A11" s="20" t="inlineStr">
        <is>
          <t>JIRA-PRC-1060</t>
        </is>
      </c>
      <c r="B11" s="12" t="inlineStr">
        <is>
          <t>G6 Legacy End-of-Life Price Adjust</t>
        </is>
      </c>
      <c r="C11" s="20" t="inlineStr">
        <is>
          <t>France (FR)</t>
        </is>
      </c>
      <c r="D11" s="20" t="inlineStr">
        <is>
          <t>Discontinuation Discount</t>
        </is>
      </c>
      <c r="E11" s="12" t="inlineStr">
        <is>
          <t>A. Dubois (Supply Chain)</t>
        </is>
      </c>
      <c r="F11" s="44" t="inlineStr">
        <is>
          <t>Approved (12/10/2026)</t>
        </is>
      </c>
      <c r="G11" s="44" t="inlineStr">
        <is>
          <t>Approved (13/10/2026)</t>
        </is>
      </c>
      <c r="H11" s="20" t="inlineStr">
        <is>
          <t>Sprint 2026.7</t>
        </is>
      </c>
      <c r="I11" s="45" t="inlineStr">
        <is>
          <t>Production Deployed</t>
        </is>
      </c>
      <c r="J11" s="46" t="inlineStr">
        <is>
          <t>Inventory Cleared 94%</t>
        </is>
      </c>
    </row>
    <row r="12">
      <c r="A12" s="23" t="inlineStr">
        <is>
          <t>JIRA-PRC-1062</t>
        </is>
      </c>
      <c r="B12" s="24" t="inlineStr">
        <is>
          <t>Clarity Clinic SaaS Annual Subscription</t>
        </is>
      </c>
      <c r="C12" s="23" t="inlineStr">
        <is>
          <t>EMEA Regional</t>
        </is>
      </c>
      <c r="D12" s="23" t="inlineStr">
        <is>
          <t>SaaS Pricing Catalog</t>
        </is>
      </c>
      <c r="E12" s="24" t="inlineStr">
        <is>
          <t>S. Jensen (Digital Health)</t>
        </is>
      </c>
      <c r="F12" s="47" t="inlineStr">
        <is>
          <t>Approved (15/10/2026)</t>
        </is>
      </c>
      <c r="G12" s="47" t="inlineStr">
        <is>
          <t>Approved (16/10/2026)</t>
        </is>
      </c>
      <c r="H12" s="23" t="inlineStr">
        <is>
          <t>Sprint 2026.7</t>
        </is>
      </c>
      <c r="I12" s="45" t="inlineStr">
        <is>
          <t>Production Deployed</t>
        </is>
      </c>
      <c r="J12" s="48" t="inlineStr">
        <is>
          <t>Recurring Billing 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2026-10-23T11:07:29Z</dcterms:created>
  <dcterms:modified xmlns:dcterms="http://purl.org/dc/terms/" xmlns:xsi="http://www.w3.org/2001/XMLSchema-instance" xsi:type="dcterms:W3CDTF">2026-10-23T11:07:29Z</dcterms:modified>
</cp:coreProperties>
</file>